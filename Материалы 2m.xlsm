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65" windowWidth="14805" windowHeight="7950" activeTab="6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</sheets>
  <definedNames>
    <definedName name="_2020_01_27_1" localSheetId="4">Лист5!$B$39:$H$87</definedName>
    <definedName name="_2020_02_03" localSheetId="4">Лист5!$B$4:$H$47</definedName>
  </definedNames>
  <calcPr calcId="152511"/>
</workbook>
</file>

<file path=xl/calcChain.xml><?xml version="1.0" encoding="utf-8"?>
<calcChain xmlns="http://schemas.openxmlformats.org/spreadsheetml/2006/main">
  <c r="C28" i="10" l="1"/>
  <c r="C24" i="10"/>
  <c r="C20" i="10"/>
  <c r="C15" i="10"/>
  <c r="C57" i="9"/>
  <c r="C52" i="9"/>
  <c r="C47" i="9"/>
  <c r="C41" i="9"/>
  <c r="C37" i="9"/>
  <c r="C33" i="9"/>
  <c r="C29" i="9"/>
  <c r="C25" i="9"/>
  <c r="C21" i="9"/>
  <c r="C128" i="8"/>
  <c r="C124" i="8"/>
  <c r="C120" i="8"/>
  <c r="C115" i="8"/>
  <c r="C111" i="8"/>
  <c r="C107" i="8"/>
  <c r="C103" i="8"/>
  <c r="C99" i="8"/>
  <c r="C95" i="8"/>
  <c r="C91" i="8"/>
  <c r="C86" i="8"/>
  <c r="C81" i="8"/>
  <c r="C76" i="8"/>
  <c r="C68" i="8"/>
  <c r="C60" i="8"/>
  <c r="C54" i="8"/>
  <c r="C47" i="8"/>
  <c r="C39" i="8" l="1"/>
  <c r="C32" i="8"/>
  <c r="E7" i="7"/>
  <c r="E4" i="7"/>
  <c r="E5" i="7"/>
  <c r="E3" i="7"/>
  <c r="P28" i="6"/>
  <c r="R4" i="6"/>
  <c r="E2" i="7" l="1"/>
  <c r="G43" i="4"/>
  <c r="G38" i="4"/>
  <c r="E33" i="4"/>
  <c r="G33" i="4" s="1"/>
  <c r="G24" i="4"/>
  <c r="G23" i="4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F20" i="4" s="1"/>
  <c r="G20" i="4" s="1"/>
  <c r="G4" i="4"/>
  <c r="L110" i="3"/>
  <c r="L104" i="3"/>
  <c r="J99" i="3"/>
  <c r="L99" i="3" s="1"/>
  <c r="L91" i="3"/>
  <c r="L84" i="3"/>
  <c r="L82" i="3"/>
  <c r="L83" i="3" s="1"/>
  <c r="J86" i="3"/>
  <c r="L86" i="3" s="1"/>
  <c r="L80" i="3"/>
  <c r="L81" i="3"/>
  <c r="L79" i="3"/>
  <c r="L61" i="3"/>
  <c r="J73" i="3"/>
  <c r="L73" i="3" s="1"/>
  <c r="J72" i="3"/>
  <c r="L72" i="3" s="1"/>
  <c r="K52" i="3"/>
  <c r="L52" i="3" s="1"/>
  <c r="K63" i="3" s="1"/>
  <c r="L63" i="3" s="1"/>
  <c r="L62" i="3"/>
  <c r="L60" i="3"/>
  <c r="L59" i="3"/>
  <c r="L58" i="3"/>
  <c r="K69" i="3" s="1"/>
  <c r="L69" i="3" s="1"/>
  <c r="L51" i="3"/>
  <c r="K57" i="3" s="1"/>
  <c r="L57" i="3" s="1"/>
  <c r="K68" i="3" s="1"/>
  <c r="L68" i="3" s="1"/>
  <c r="L50" i="3"/>
  <c r="K56" i="3" s="1"/>
  <c r="L56" i="3" s="1"/>
  <c r="K67" i="3" s="1"/>
  <c r="L67" i="3" s="1"/>
  <c r="L49" i="3"/>
  <c r="K55" i="3" s="1"/>
  <c r="L55" i="3" s="1"/>
  <c r="K66" i="3" s="1"/>
  <c r="L66" i="3" s="1"/>
  <c r="L48" i="3"/>
  <c r="K54" i="3" s="1"/>
  <c r="L54" i="3" s="1"/>
  <c r="K65" i="3" s="1"/>
  <c r="L65" i="3" s="1"/>
  <c r="L47" i="3"/>
  <c r="K53" i="3" s="1"/>
  <c r="L53" i="3" s="1"/>
  <c r="K64" i="3" s="1"/>
  <c r="L64" i="3" s="1"/>
  <c r="L46" i="3"/>
  <c r="L41" i="3"/>
  <c r="K45" i="3" s="1"/>
  <c r="L45" i="3" s="1"/>
  <c r="L40" i="3"/>
  <c r="K44" i="3" s="1"/>
  <c r="L44" i="3" s="1"/>
  <c r="L39" i="3"/>
  <c r="K43" i="3" s="1"/>
  <c r="L43" i="3" s="1"/>
  <c r="L38" i="3"/>
  <c r="K42" i="3" s="1"/>
  <c r="L42" i="3" s="1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16" i="1"/>
  <c r="B8" i="1"/>
  <c r="G47" i="4" l="1"/>
  <c r="B66" i="1"/>
  <c r="L74" i="3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<sst xmlns="http://schemas.openxmlformats.org/spreadsheetml/2006/main" count="543" uniqueCount="112">
  <si>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</si>
  <si>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</si>
  <si>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</si>
  <si>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</si>
  <si>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</si>
  <si>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</si>
  <si>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</si>
  <si>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</si>
  <si>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</si>
  <si>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</si>
  <si>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</si>
  <si>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</si>
  <si>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</si>
  <si>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</si>
  <si>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</si>
  <si>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</si>
  <si>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</si>
  <si>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</si>
  <si>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</si>
  <si>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</si>
  <si>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</si>
  <si>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</si>
  <si>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</si>
  <si>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</si>
  <si>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</si>
  <si>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</si>
  <si>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</si>
  <si>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</si>
  <si>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</si>
  <si>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</si>
  <si>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</si>
  <si>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</si>
  <si>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</si>
  <si>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</si>
  <si>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</si>
  <si>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</si>
  <si>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</si>
  <si>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</si>
  <si>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</si>
  <si>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</si>
  <si>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</si>
  <si>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</si>
  <si>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</si>
  <si>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</si>
  <si>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</si>
  <si>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</si>
  <si>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</si>
  <si>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</si>
  <si>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</si>
  <si>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</si>
  <si>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</si>
  <si>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</si>
  <si>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</si>
  <si>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</si>
  <si>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</si>
  <si>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</si>
  <si>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</si>
  <si>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</si>
  <si>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</si>
  <si>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</si>
  <si>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</si>
  <si>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</si>
  <si>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</si>
  <si>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</si>
  <si>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</si>
  <si>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</si>
  <si>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</si>
  <si>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</si>
  <si>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</si>
  <si>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</si>
  <si>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</si>
  <si>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</si>
  <si>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</si>
  <si>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</si>
  <si>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</si>
  <si>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</si>
  <si>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</si>
  <si>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</si>
  <si>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</si>
  <si>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</si>
  <si>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</si>
  <si>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</si>
  <si>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</si>
  <si>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</si>
  <si>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</si>
  <si>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</si>
  <si>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</si>
  <si>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</si>
  <si>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</si>
  <si>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</si>
  <si>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</si>
  <si>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</si>
  <si>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</si>
  <si>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</si>
  <si>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</si>
  <si>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</si>
  <si>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</si>
  <si>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</si>
  <si>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</si>
  <si>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</si>
  <si>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</si>
  <si>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</si>
  <si>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</si>
  <si>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</si>
  <si>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</si>
  <si>
    <t>БрусокВходНиз БрусокПрихожаяНиз</t>
  </si>
  <si>
    <t>Каркас Тыл, Фронт</t>
  </si>
  <si>
    <t>РейкаВнешняяПрихожая(боковая)</t>
  </si>
  <si>
    <t>Поликарбонат</t>
  </si>
  <si>
    <t>4мм  6м</t>
  </si>
  <si>
    <t>4мм усиленный  6м</t>
  </si>
  <si>
    <t>4мм 12м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</si>
</sst>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24" t="s">
        <v>0</v>
      </c>
      <c r="B1" s="24"/>
      <c r="C1" s="24"/>
      <c r="D1" s="24"/>
      <c r="E1" s="24"/>
      <c r="F1" s="24"/>
      <c r="G1" s="24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24" t="s">
        <v>5</v>
      </c>
      <c r="B11" s="24"/>
      <c r="C11" s="24"/>
      <c r="D11" s="24"/>
      <c r="E11" s="24"/>
      <c r="F11" s="24"/>
      <c r="G11" s="24"/>
    </row>
    <row r="12" spans="1:7" x14ac:dyDescent="0.25">
      <c r="A12" s="24" t="s">
        <v>1</v>
      </c>
      <c r="B12" s="24"/>
      <c r="C12" s="24"/>
      <c r="D12" s="24"/>
      <c r="E12" s="24"/>
      <c r="F12" s="24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24" t="s">
        <v>6</v>
      </c>
      <c r="B21" s="24"/>
      <c r="C21" s="24"/>
      <c r="D21" s="24"/>
      <c r="E21" s="24"/>
      <c r="F21" s="24"/>
      <c r="G21" s="24"/>
    </row>
    <row r="22" spans="1:7" x14ac:dyDescent="0.25">
      <c r="A22" s="24" t="s">
        <v>1</v>
      </c>
      <c r="B22" s="24"/>
      <c r="C22" s="24"/>
      <c r="D22" s="24"/>
      <c r="E22" s="24"/>
      <c r="F22" s="24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24" t="s">
        <v>7</v>
      </c>
      <c r="B28" s="24"/>
      <c r="C28" s="24"/>
      <c r="D28" s="24"/>
      <c r="E28" s="24"/>
      <c r="F28" s="24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24" t="s">
        <v>8</v>
      </c>
      <c r="B34" s="24"/>
      <c r="C34" s="24"/>
      <c r="D34" s="24"/>
      <c r="E34" s="24"/>
      <c r="F34" s="24"/>
      <c r="G34" s="24"/>
    </row>
    <row r="35" spans="1:7" x14ac:dyDescent="0.25">
      <c r="A35" s="24" t="s">
        <v>1</v>
      </c>
      <c r="B35" s="24"/>
      <c r="C35" s="24"/>
      <c r="D35" s="24"/>
      <c r="E35" s="24"/>
      <c r="F35" s="24"/>
    </row>
    <row r="40" spans="1:7" x14ac:dyDescent="0.25">
      <c r="A40" s="24" t="s">
        <v>7</v>
      </c>
      <c r="B40" s="24"/>
      <c r="C40" s="24"/>
      <c r="D40" s="24"/>
      <c r="E40" s="24"/>
      <c r="F40" s="24"/>
    </row>
    <row r="43" spans="1:7" x14ac:dyDescent="0.25">
      <c r="A43" s="24" t="s">
        <v>9</v>
      </c>
      <c r="B43" s="24"/>
      <c r="C43" s="24"/>
      <c r="D43" s="24"/>
      <c r="E43" s="24"/>
      <c r="F43" s="24"/>
    </row>
    <row r="46" spans="1:7" x14ac:dyDescent="0.25">
      <c r="A46" s="24" t="s">
        <v>13</v>
      </c>
      <c r="B46" s="24"/>
      <c r="C46" s="24"/>
      <c r="D46" s="24"/>
      <c r="E46" s="24"/>
      <c r="F46" s="24"/>
      <c r="G46" s="24"/>
    </row>
    <row r="47" spans="1:7" x14ac:dyDescent="0.25">
      <c r="A47" s="24" t="s">
        <v>1</v>
      </c>
      <c r="B47" s="24"/>
      <c r="C47" s="24"/>
      <c r="D47" s="24"/>
      <c r="E47" s="24"/>
      <c r="F47" s="24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24" t="s">
        <v>10</v>
      </c>
      <c r="B55" s="24"/>
      <c r="C55" s="24"/>
      <c r="D55" s="24"/>
      <c r="E55" s="24"/>
      <c r="F55" s="24"/>
      <c r="G55" s="24"/>
    </row>
    <row r="56" spans="1:7" x14ac:dyDescent="0.25">
      <c r="A56" s="24" t="s">
        <v>11</v>
      </c>
      <c r="B56" s="24"/>
      <c r="C56" s="24"/>
      <c r="D56" s="24"/>
      <c r="E56" s="24"/>
      <c r="F56" s="24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24" t="s">
        <v>14</v>
      </c>
      <c r="B65" s="24"/>
      <c r="C65" s="24"/>
      <c r="D65" s="24"/>
      <c r="E65" s="24"/>
      <c r="F65" s="24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24" t="s">
        <v>0</v>
      </c>
      <c r="B1" s="24"/>
      <c r="C1" s="24"/>
      <c r="D1" s="24"/>
      <c r="E1" s="24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24" t="s">
        <v>5</v>
      </c>
      <c r="B11" s="24"/>
      <c r="C11" s="24"/>
      <c r="D11" s="24"/>
      <c r="E11" s="24"/>
    </row>
    <row r="12" spans="1:5" x14ac:dyDescent="0.25">
      <c r="A12" s="24" t="s">
        <v>1</v>
      </c>
      <c r="B12" s="24"/>
      <c r="C12" s="24"/>
      <c r="D12" s="24"/>
    </row>
    <row r="13" spans="1:5" x14ac:dyDescent="0.25">
      <c r="B13" s="1">
        <v>1500</v>
      </c>
      <c r="C13" s="1">
        <v>1</v>
      </c>
    </row>
    <row r="21" spans="1:5" x14ac:dyDescent="0.25">
      <c r="A21" s="24" t="s">
        <v>6</v>
      </c>
      <c r="B21" s="24"/>
      <c r="C21" s="24"/>
      <c r="D21" s="24"/>
      <c r="E21" s="24"/>
    </row>
    <row r="22" spans="1:5" x14ac:dyDescent="0.25">
      <c r="A22" s="24" t="s">
        <v>1</v>
      </c>
      <c r="B22" s="24"/>
      <c r="C22" s="24"/>
      <c r="D22" s="24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24" t="s">
        <v>7</v>
      </c>
      <c r="B28" s="24"/>
      <c r="C28" s="24"/>
      <c r="D28" s="24"/>
    </row>
    <row r="29" spans="1:5" x14ac:dyDescent="0.25">
      <c r="B29" s="1">
        <v>1960</v>
      </c>
      <c r="C29" s="1">
        <v>11</v>
      </c>
    </row>
    <row r="34" spans="1:5" x14ac:dyDescent="0.25">
      <c r="A34" s="24" t="s">
        <v>8</v>
      </c>
      <c r="B34" s="24"/>
      <c r="C34" s="24"/>
      <c r="D34" s="24"/>
      <c r="E34" s="24"/>
    </row>
    <row r="35" spans="1:5" x14ac:dyDescent="0.25">
      <c r="A35" s="24" t="s">
        <v>1</v>
      </c>
      <c r="B35" s="24"/>
      <c r="C35" s="24"/>
      <c r="D35" s="24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24" t="s">
        <v>7</v>
      </c>
      <c r="B40" s="24"/>
      <c r="C40" s="24"/>
      <c r="D40" s="24"/>
    </row>
    <row r="41" spans="1:5" x14ac:dyDescent="0.25">
      <c r="B41" s="1">
        <v>1600</v>
      </c>
      <c r="C41" s="1">
        <v>2</v>
      </c>
    </row>
    <row r="43" spans="1:5" x14ac:dyDescent="0.25">
      <c r="A43" s="24" t="s">
        <v>9</v>
      </c>
      <c r="B43" s="24"/>
      <c r="C43" s="24"/>
      <c r="D43" s="24"/>
    </row>
    <row r="44" spans="1:5" x14ac:dyDescent="0.25">
      <c r="B44" s="1">
        <v>1600</v>
      </c>
      <c r="C44" s="1">
        <v>2</v>
      </c>
    </row>
    <row r="46" spans="1:5" x14ac:dyDescent="0.25">
      <c r="A46" s="24" t="s">
        <v>13</v>
      </c>
      <c r="B46" s="24"/>
      <c r="C46" s="24"/>
      <c r="D46" s="24"/>
      <c r="E46" s="24"/>
    </row>
    <row r="47" spans="1:5" x14ac:dyDescent="0.25">
      <c r="A47" s="24" t="s">
        <v>1</v>
      </c>
      <c r="B47" s="24"/>
      <c r="C47" s="24"/>
      <c r="D47" s="24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24" t="s">
        <v>10</v>
      </c>
      <c r="B55" s="24"/>
      <c r="C55" s="24"/>
      <c r="D55" s="24"/>
      <c r="E55" s="24"/>
    </row>
    <row r="56" spans="1:5" x14ac:dyDescent="0.25">
      <c r="A56" s="24" t="s">
        <v>11</v>
      </c>
      <c r="B56" s="24"/>
      <c r="C56" s="24"/>
      <c r="D56" s="24"/>
    </row>
    <row r="57" spans="1:5" x14ac:dyDescent="0.25">
      <c r="A57" s="1">
        <v>1900</v>
      </c>
    </row>
    <row r="58" spans="1:5" x14ac:dyDescent="0.25">
      <c r="A58" s="24" t="s">
        <v>7</v>
      </c>
      <c r="B58" s="24"/>
      <c r="C58" s="24"/>
      <c r="D58" s="24"/>
    </row>
    <row r="59" spans="1:5" x14ac:dyDescent="0.25">
      <c r="B59" s="1">
        <v>1500</v>
      </c>
      <c r="C59" s="1">
        <v>3</v>
      </c>
    </row>
    <row r="66" spans="1:5" x14ac:dyDescent="0.25">
      <c r="A66" s="24" t="s">
        <v>15</v>
      </c>
      <c r="B66" s="24"/>
      <c r="C66" s="24"/>
      <c r="D66" s="24"/>
      <c r="E66" s="24"/>
    </row>
    <row r="67" spans="1:5" x14ac:dyDescent="0.25">
      <c r="A67" s="24" t="s">
        <v>16</v>
      </c>
      <c r="B67" s="24"/>
      <c r="C67" s="24"/>
      <c r="D67" s="24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  <mergeCell ref="A55:E55"/>
    <mergeCell ref="A56:D56"/>
    <mergeCell ref="A58:D58"/>
    <mergeCell ref="A66:E66"/>
    <mergeCell ref="A67:D6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24" t="s">
        <v>1</v>
      </c>
      <c r="C1" s="24"/>
      <c r="D1" s="24"/>
      <c r="E1" s="24"/>
      <c r="F1" s="24"/>
      <c r="G1" s="24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24" t="s">
        <v>7</v>
      </c>
      <c r="D76" s="24"/>
      <c r="E76" s="24"/>
      <c r="F76" s="24"/>
      <c r="G76" s="24"/>
      <c r="H76" s="24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24" t="s">
        <v>9</v>
      </c>
      <c r="D90" s="24"/>
      <c r="E90" s="24"/>
      <c r="F90" s="24"/>
      <c r="G90" s="24"/>
      <c r="H90" s="24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24" t="s">
        <v>16</v>
      </c>
      <c r="D93" s="24"/>
      <c r="E93" s="24"/>
      <c r="F93" s="24"/>
      <c r="G93" s="24"/>
      <c r="H93" s="24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24" t="s">
        <v>11</v>
      </c>
      <c r="C101" s="24"/>
      <c r="D101" s="24"/>
      <c r="E101" s="24"/>
      <c r="F101" s="24"/>
      <c r="G101" s="24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24" t="s">
        <v>17</v>
      </c>
      <c r="C109" s="24"/>
      <c r="D109" s="24"/>
      <c r="E109" s="24"/>
      <c r="F109" s="24"/>
      <c r="G109" s="24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24"/>
      <c r="C130" s="24"/>
      <c r="D130" s="24"/>
      <c r="E130" s="24"/>
      <c r="F130" s="24"/>
      <c r="G130" s="24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24" t="s">
        <v>1</v>
      </c>
      <c r="E2" s="24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24" t="s">
        <v>7</v>
      </c>
      <c r="B27" s="24"/>
      <c r="C27" s="24"/>
      <c r="D27" s="24"/>
      <c r="E27" s="24"/>
      <c r="F27" s="24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24" t="s">
        <v>11</v>
      </c>
      <c r="C35" s="24"/>
      <c r="D35" s="24"/>
      <c r="E35" s="24"/>
      <c r="F35" s="24"/>
      <c r="G35" s="24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24" t="s">
        <v>17</v>
      </c>
      <c r="C41" s="24"/>
      <c r="D41" s="24"/>
      <c r="E41" s="24"/>
      <c r="F41" s="24"/>
      <c r="G41" s="24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topLeftCell="A10"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8" t="s">
        <v>61</v>
      </c>
      <c r="C5" s="18" t="s">
        <v>61</v>
      </c>
      <c r="D5" s="18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8" t="s">
        <v>25</v>
      </c>
      <c r="C6" s="18" t="s">
        <v>26</v>
      </c>
      <c r="D6" s="18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8" t="s">
        <v>28</v>
      </c>
      <c r="C7" s="18" t="s">
        <v>8</v>
      </c>
      <c r="D7" s="18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8" t="s">
        <v>75</v>
      </c>
      <c r="C8" s="18" t="s">
        <v>8</v>
      </c>
      <c r="D8" s="18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8" t="s">
        <v>76</v>
      </c>
      <c r="C9" s="18" t="s">
        <v>8</v>
      </c>
      <c r="D9" s="18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8" t="s">
        <v>29</v>
      </c>
      <c r="C10" s="18" t="s">
        <v>0</v>
      </c>
      <c r="D10" s="18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8" t="s">
        <v>30</v>
      </c>
      <c r="C11" s="18" t="s">
        <v>8</v>
      </c>
      <c r="D11" s="18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8" t="s">
        <v>77</v>
      </c>
      <c r="C12" s="18" t="s">
        <v>8</v>
      </c>
      <c r="D12" s="18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8" t="s">
        <v>31</v>
      </c>
      <c r="C13" s="18" t="s">
        <v>32</v>
      </c>
      <c r="D13" s="18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8" t="s">
        <v>34</v>
      </c>
      <c r="C14" s="18" t="s">
        <v>0</v>
      </c>
      <c r="D14" s="18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8" t="s">
        <v>35</v>
      </c>
      <c r="C15" s="18" t="s">
        <v>13</v>
      </c>
      <c r="D15" s="18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8" t="s">
        <v>36</v>
      </c>
      <c r="C16" s="18" t="s">
        <v>13</v>
      </c>
      <c r="D16" s="18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8" t="s">
        <v>37</v>
      </c>
      <c r="C17" s="18" t="s">
        <v>13</v>
      </c>
      <c r="D17" s="18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8" t="s">
        <v>72</v>
      </c>
      <c r="C18" s="18" t="s">
        <v>13</v>
      </c>
      <c r="D18" s="18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8" t="s">
        <v>71</v>
      </c>
      <c r="C19" s="18" t="s">
        <v>0</v>
      </c>
      <c r="D19" s="18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8" t="s">
        <v>43</v>
      </c>
      <c r="C20" s="18" t="s">
        <v>0</v>
      </c>
      <c r="D20" s="18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8" t="s">
        <v>44</v>
      </c>
      <c r="C21" s="18" t="s">
        <v>45</v>
      </c>
      <c r="D21" s="18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8" t="s">
        <v>48</v>
      </c>
      <c r="C22" s="18" t="s">
        <v>8</v>
      </c>
      <c r="D22" s="18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8" t="s">
        <v>49</v>
      </c>
      <c r="C23" s="18" t="s">
        <v>8</v>
      </c>
      <c r="D23" s="18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8" t="s">
        <v>50</v>
      </c>
      <c r="C24" s="18" t="s">
        <v>8</v>
      </c>
      <c r="D24" s="18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8" t="s">
        <v>51</v>
      </c>
      <c r="C25" s="18" t="s">
        <v>0</v>
      </c>
      <c r="D25" s="18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8" t="s">
        <v>52</v>
      </c>
      <c r="C26" s="18" t="s">
        <v>0</v>
      </c>
      <c r="D26" s="18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8" t="s">
        <v>55</v>
      </c>
      <c r="C27" s="18" t="s">
        <v>56</v>
      </c>
      <c r="D27" s="18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8" t="s">
        <v>64</v>
      </c>
      <c r="C28" s="18" t="s">
        <v>56</v>
      </c>
      <c r="D28" s="18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8" t="s">
        <v>65</v>
      </c>
      <c r="C29" s="18" t="s">
        <v>56</v>
      </c>
      <c r="D29" s="18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8" t="s">
        <v>67</v>
      </c>
      <c r="C30" s="18" t="s">
        <v>56</v>
      </c>
      <c r="D30" s="18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8" t="s">
        <v>74</v>
      </c>
      <c r="C31" s="18" t="s">
        <v>63</v>
      </c>
      <c r="D31" s="18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8" t="s">
        <v>73</v>
      </c>
      <c r="C32" s="18" t="s">
        <v>81</v>
      </c>
      <c r="D32" s="18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8" t="s">
        <v>38</v>
      </c>
      <c r="C33" s="18" t="s">
        <v>39</v>
      </c>
      <c r="D33" s="18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8" t="s">
        <v>40</v>
      </c>
      <c r="C34" s="18" t="s">
        <v>39</v>
      </c>
      <c r="D34" s="18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8" t="s">
        <v>41</v>
      </c>
      <c r="C35" s="18" t="s">
        <v>39</v>
      </c>
      <c r="D35" s="18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8" t="s">
        <v>42</v>
      </c>
      <c r="C36" s="18" t="s">
        <v>39</v>
      </c>
      <c r="D36" s="18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8" t="s">
        <v>47</v>
      </c>
      <c r="C37" s="18" t="s">
        <v>39</v>
      </c>
      <c r="D37" s="18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8" t="s">
        <v>57</v>
      </c>
      <c r="C38" s="18" t="s">
        <v>39</v>
      </c>
      <c r="D38" s="18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8" t="s">
        <v>58</v>
      </c>
      <c r="C39" s="18" t="s">
        <v>39</v>
      </c>
      <c r="D39" s="18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8" t="s">
        <v>59</v>
      </c>
      <c r="C40" s="18" t="s">
        <v>39</v>
      </c>
      <c r="D40" s="18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8" t="s">
        <v>60</v>
      </c>
      <c r="C41" s="18" t="s">
        <v>39</v>
      </c>
      <c r="D41" s="18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8" t="s">
        <v>62</v>
      </c>
      <c r="C42" s="18" t="s">
        <v>8</v>
      </c>
      <c r="D42" s="18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8" t="s">
        <v>8</v>
      </c>
      <c r="C43" s="18" t="s">
        <v>8</v>
      </c>
      <c r="D43" s="18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8" t="s">
        <v>69</v>
      </c>
      <c r="C44" s="18" t="s">
        <v>70</v>
      </c>
      <c r="D44" s="18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8" t="s">
        <v>53</v>
      </c>
      <c r="C45" s="18" t="s">
        <v>54</v>
      </c>
      <c r="D45" s="18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8" t="s">
        <v>79</v>
      </c>
      <c r="C46" s="18" t="s">
        <v>54</v>
      </c>
      <c r="D46" s="18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8" t="s">
        <v>80</v>
      </c>
      <c r="C47" s="18" t="s">
        <v>54</v>
      </c>
      <c r="D47" s="18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8"/>
      <c r="C48" s="18"/>
      <c r="D48" s="18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25" workbookViewId="0">
      <selection activeCell="J53" sqref="J53:J54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8" t="s">
        <v>37</v>
      </c>
      <c r="B6" s="18" t="s">
        <v>13</v>
      </c>
      <c r="C6" s="18" t="s">
        <v>37</v>
      </c>
      <c r="D6" s="4">
        <v>2000</v>
      </c>
      <c r="E6" s="4">
        <v>40</v>
      </c>
      <c r="F6" s="4">
        <v>40</v>
      </c>
      <c r="G6" s="6">
        <v>1</v>
      </c>
      <c r="J6" s="19" t="s">
        <v>82</v>
      </c>
    </row>
    <row r="7" spans="1:18" ht="16.5" x14ac:dyDescent="0.25">
      <c r="A7" s="18" t="s">
        <v>31</v>
      </c>
      <c r="B7" s="18" t="s">
        <v>32</v>
      </c>
      <c r="C7" s="18" t="s">
        <v>33</v>
      </c>
      <c r="D7" s="4">
        <v>1956</v>
      </c>
      <c r="E7" s="4">
        <v>40</v>
      </c>
      <c r="F7" s="4">
        <v>40</v>
      </c>
      <c r="G7" s="6">
        <v>3</v>
      </c>
      <c r="J7" s="19" t="s">
        <v>83</v>
      </c>
    </row>
    <row r="8" spans="1:18" x14ac:dyDescent="0.25">
      <c r="A8" s="18" t="s">
        <v>71</v>
      </c>
      <c r="B8" s="18" t="s">
        <v>0</v>
      </c>
      <c r="C8" s="18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8" t="s">
        <v>29</v>
      </c>
      <c r="B9" s="18" t="s">
        <v>0</v>
      </c>
      <c r="C9" s="18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8" t="s">
        <v>52</v>
      </c>
      <c r="B10" s="18" t="s">
        <v>0</v>
      </c>
      <c r="C10" s="18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8" t="s">
        <v>34</v>
      </c>
      <c r="B11" s="18" t="s">
        <v>0</v>
      </c>
      <c r="C11" s="18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8" t="s">
        <v>43</v>
      </c>
      <c r="B12" s="18" t="s">
        <v>0</v>
      </c>
      <c r="C12" s="18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8" t="s">
        <v>72</v>
      </c>
      <c r="B13" s="18" t="s">
        <v>13</v>
      </c>
      <c r="C13" s="18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8" t="s">
        <v>44</v>
      </c>
      <c r="B14" s="18" t="s">
        <v>45</v>
      </c>
      <c r="C14" s="18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8" t="s">
        <v>35</v>
      </c>
      <c r="B15" s="18" t="s">
        <v>13</v>
      </c>
      <c r="C15" s="18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8" t="s">
        <v>25</v>
      </c>
      <c r="B16" s="18" t="s">
        <v>26</v>
      </c>
      <c r="C16" s="18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8" t="s">
        <v>51</v>
      </c>
      <c r="B17" s="18" t="s">
        <v>0</v>
      </c>
      <c r="C17" s="18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8" t="s">
        <v>77</v>
      </c>
      <c r="B18" s="18" t="s">
        <v>8</v>
      </c>
      <c r="C18" s="18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8" t="s">
        <v>30</v>
      </c>
      <c r="B19" s="18" t="s">
        <v>8</v>
      </c>
      <c r="C19" s="18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8" t="s">
        <v>75</v>
      </c>
      <c r="B20" s="18" t="s">
        <v>8</v>
      </c>
      <c r="C20" s="18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8" t="s">
        <v>76</v>
      </c>
      <c r="B21" s="18" t="s">
        <v>8</v>
      </c>
      <c r="C21" s="18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8" t="s">
        <v>28</v>
      </c>
      <c r="B22" s="18" t="s">
        <v>8</v>
      </c>
      <c r="C22" s="18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8" t="s">
        <v>50</v>
      </c>
      <c r="B23" s="18" t="s">
        <v>8</v>
      </c>
      <c r="C23" s="18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8" t="s">
        <v>48</v>
      </c>
      <c r="B24" s="18" t="s">
        <v>8</v>
      </c>
      <c r="C24" s="18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8" t="s">
        <v>49</v>
      </c>
      <c r="B25" s="18" t="s">
        <v>8</v>
      </c>
      <c r="C25" s="18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8" t="s">
        <v>36</v>
      </c>
      <c r="B26" s="18" t="s">
        <v>13</v>
      </c>
      <c r="C26" s="18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8" t="s">
        <v>55</v>
      </c>
      <c r="B34" s="18" t="s">
        <v>56</v>
      </c>
      <c r="C34" s="18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8" t="s">
        <v>65</v>
      </c>
      <c r="B35" s="18" t="s">
        <v>56</v>
      </c>
      <c r="C35" s="18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8" t="s">
        <v>67</v>
      </c>
      <c r="B36" s="18" t="s">
        <v>56</v>
      </c>
      <c r="C36" s="18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8" t="s">
        <v>74</v>
      </c>
      <c r="B37" s="18" t="s">
        <v>63</v>
      </c>
      <c r="C37" s="18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8" t="s">
        <v>64</v>
      </c>
      <c r="B38" s="18" t="s">
        <v>56</v>
      </c>
      <c r="C38" s="18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8" t="s">
        <v>73</v>
      </c>
      <c r="B39" s="18" t="s">
        <v>81</v>
      </c>
      <c r="C39" s="18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8" t="s">
        <v>38</v>
      </c>
      <c r="B40" s="18" t="s">
        <v>39</v>
      </c>
      <c r="C40" s="18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8" t="s">
        <v>47</v>
      </c>
      <c r="B41" s="18" t="s">
        <v>39</v>
      </c>
      <c r="C41" s="18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8" t="s">
        <v>40</v>
      </c>
      <c r="B42" s="18" t="s">
        <v>39</v>
      </c>
      <c r="C42" s="18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8" t="s">
        <v>41</v>
      </c>
      <c r="B43" s="18" t="s">
        <v>39</v>
      </c>
      <c r="C43" s="18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8" t="s">
        <v>42</v>
      </c>
      <c r="B44" s="18" t="s">
        <v>39</v>
      </c>
      <c r="C44" s="18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8"/>
      <c r="B45" s="18"/>
      <c r="C45" s="18"/>
      <c r="D45" s="4"/>
      <c r="E45" s="4"/>
      <c r="F45" s="4"/>
      <c r="G45" s="6"/>
    </row>
    <row r="46" spans="1:12" x14ac:dyDescent="0.25">
      <c r="A46" s="18"/>
      <c r="B46" s="18"/>
      <c r="C46" s="18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8" t="s">
        <v>8</v>
      </c>
      <c r="B47" s="20" t="s">
        <v>8</v>
      </c>
      <c r="C47" s="20" t="s">
        <v>8</v>
      </c>
      <c r="D47" s="21">
        <v>2000</v>
      </c>
      <c r="E47" s="21">
        <v>150</v>
      </c>
      <c r="F47" s="21">
        <v>20</v>
      </c>
      <c r="G47" s="21">
        <v>3</v>
      </c>
    </row>
    <row r="48" spans="1:12" x14ac:dyDescent="0.25">
      <c r="A48" s="18" t="s">
        <v>69</v>
      </c>
      <c r="B48" s="18" t="s">
        <v>70</v>
      </c>
      <c r="C48" s="18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8"/>
      <c r="B49" s="18"/>
      <c r="C49" s="18"/>
      <c r="D49" s="6"/>
      <c r="E49" s="6"/>
      <c r="F49" s="6"/>
      <c r="G49" s="6"/>
    </row>
    <row r="50" spans="1:14" x14ac:dyDescent="0.25">
      <c r="A50" s="18"/>
      <c r="B50" s="18"/>
      <c r="C50" s="18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8"/>
      <c r="B51" s="18"/>
      <c r="C51" s="18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8"/>
      <c r="B52" s="18"/>
      <c r="C52" s="18"/>
      <c r="D52" s="6"/>
      <c r="E52" s="6"/>
      <c r="F52" s="6"/>
      <c r="G52" s="6"/>
    </row>
    <row r="53" spans="1:14" x14ac:dyDescent="0.25">
      <c r="A53" s="18" t="s">
        <v>62</v>
      </c>
      <c r="B53" s="20" t="s">
        <v>8</v>
      </c>
      <c r="C53" s="20" t="s">
        <v>62</v>
      </c>
      <c r="D53" s="21">
        <v>2000</v>
      </c>
      <c r="E53" s="21">
        <v>90</v>
      </c>
      <c r="F53" s="21">
        <v>20</v>
      </c>
      <c r="G53" s="21">
        <v>2</v>
      </c>
      <c r="J53" t="s">
        <v>91</v>
      </c>
    </row>
    <row r="54" spans="1:14" x14ac:dyDescent="0.25">
      <c r="A54" s="18" t="s">
        <v>59</v>
      </c>
      <c r="B54" s="18" t="s">
        <v>39</v>
      </c>
      <c r="C54" s="18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8" t="s">
        <v>57</v>
      </c>
      <c r="B55" s="18" t="s">
        <v>39</v>
      </c>
      <c r="C55" s="18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8" t="s">
        <v>60</v>
      </c>
      <c r="B56" s="18" t="s">
        <v>39</v>
      </c>
      <c r="C56" s="18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8" t="s">
        <v>58</v>
      </c>
      <c r="B57" s="18" t="s">
        <v>39</v>
      </c>
      <c r="C57" s="18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8"/>
      <c r="B58" s="18"/>
      <c r="C58" s="18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21"/>
  <sheetViews>
    <sheetView tabSelected="1" workbookViewId="0">
      <selection activeCell="D19" sqref="D19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SUM(E3:E7)</f>
        <v>3697</v>
      </c>
      <c r="F2" s="5" t="s">
        <v>98</v>
      </c>
    </row>
    <row r="3" spans="1:7" x14ac:dyDescent="0.25">
      <c r="A3" s="5">
        <v>1</v>
      </c>
      <c r="B3" s="5" t="s">
        <v>86</v>
      </c>
      <c r="C3" s="5">
        <v>2</v>
      </c>
      <c r="D3" s="5">
        <v>326</v>
      </c>
      <c r="E3" s="5">
        <f>PRODUCT(C3,D3)</f>
        <v>652</v>
      </c>
      <c r="F3" s="5" t="s">
        <v>90</v>
      </c>
      <c r="G3" s="5">
        <v>6</v>
      </c>
    </row>
    <row r="4" spans="1:7" x14ac:dyDescent="0.25">
      <c r="A4" s="5">
        <v>2</v>
      </c>
      <c r="B4" s="5" t="s">
        <v>96</v>
      </c>
      <c r="C4" s="5">
        <v>2</v>
      </c>
      <c r="D4" s="5">
        <v>210</v>
      </c>
      <c r="E4" s="5">
        <f t="shared" ref="E4:E7" si="0">PRODUCT(C4,D4)</f>
        <v>420</v>
      </c>
      <c r="F4" s="5" t="s">
        <v>99</v>
      </c>
      <c r="G4" s="5">
        <v>6</v>
      </c>
    </row>
    <row r="5" spans="1:7" x14ac:dyDescent="0.25">
      <c r="A5" s="5">
        <v>3</v>
      </c>
      <c r="B5" s="5" t="s">
        <v>93</v>
      </c>
      <c r="C5" s="5">
        <v>11</v>
      </c>
      <c r="D5" s="5">
        <v>139</v>
      </c>
      <c r="E5" s="5">
        <f t="shared" si="0"/>
        <v>1529</v>
      </c>
      <c r="F5" s="5" t="s">
        <v>94</v>
      </c>
      <c r="G5" s="5">
        <v>2</v>
      </c>
    </row>
    <row r="6" spans="1:7" x14ac:dyDescent="0.25">
      <c r="F6" s="5" t="s">
        <v>95</v>
      </c>
      <c r="G6" s="5">
        <v>9</v>
      </c>
    </row>
    <row r="7" spans="1:7" x14ac:dyDescent="0.25">
      <c r="A7" s="5">
        <v>4</v>
      </c>
      <c r="B7" s="5" t="s">
        <v>101</v>
      </c>
      <c r="C7" s="5">
        <v>4</v>
      </c>
      <c r="D7" s="5">
        <v>274</v>
      </c>
      <c r="E7" s="5">
        <f t="shared" si="0"/>
        <v>1096</v>
      </c>
    </row>
    <row r="14" spans="1:7" x14ac:dyDescent="0.25">
      <c r="B14" s="5" t="s">
        <v>108</v>
      </c>
    </row>
    <row r="15" spans="1:7" x14ac:dyDescent="0.25">
      <c r="B15" s="23" t="s">
        <v>109</v>
      </c>
      <c r="C15" s="5">
        <v>1600</v>
      </c>
    </row>
    <row r="16" spans="1:7" x14ac:dyDescent="0.25">
      <c r="B16" s="23" t="s">
        <v>110</v>
      </c>
      <c r="C16" s="5">
        <v>2700</v>
      </c>
    </row>
    <row r="17" spans="2:3" x14ac:dyDescent="0.25">
      <c r="B17" s="23"/>
    </row>
    <row r="18" spans="2:3" x14ac:dyDescent="0.25">
      <c r="B18" s="23" t="s">
        <v>111</v>
      </c>
      <c r="C18" s="5">
        <v>3200</v>
      </c>
    </row>
    <row r="19" spans="2:3" x14ac:dyDescent="0.25">
      <c r="B19" s="23"/>
      <c r="C19" s="5">
        <v>4600</v>
      </c>
    </row>
    <row r="20" spans="2:3" x14ac:dyDescent="0.25">
      <c r="B20" s="23"/>
      <c r="C20" s="5">
        <v>4900</v>
      </c>
    </row>
    <row r="21" spans="2:3" x14ac:dyDescent="0.25">
      <c r="B21" s="23"/>
      <c r="C21" s="5">
        <v>5800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I128"/>
  <sheetViews>
    <sheetView topLeftCell="A76" workbookViewId="0">
      <selection activeCell="C44" sqref="C44"/>
    </sheetView>
  </sheetViews>
  <sheetFormatPr defaultRowHeight="15" x14ac:dyDescent="0.25"/>
  <cols>
    <col min="1" max="1" width="20" style="23" customWidth="1"/>
    <col min="2" max="2" width="33.7109375" style="23" customWidth="1"/>
    <col min="3" max="8" width="9.140625" style="5"/>
    <col min="9" max="9" width="26.5703125" style="23" customWidth="1"/>
    <col min="10" max="10" width="18.42578125" style="5" customWidth="1"/>
    <col min="11" max="16384" width="9.140625" style="5"/>
  </cols>
  <sheetData>
    <row r="3" spans="1:6" ht="16.5" x14ac:dyDescent="0.25">
      <c r="A3" s="25" t="s">
        <v>82</v>
      </c>
      <c r="B3" s="25"/>
      <c r="C3" s="25"/>
    </row>
    <row r="4" spans="1:6" ht="16.5" x14ac:dyDescent="0.25">
      <c r="A4" s="25" t="s">
        <v>83</v>
      </c>
      <c r="B4" s="25"/>
      <c r="C4" s="25"/>
    </row>
    <row r="7" spans="1:6" x14ac:dyDescent="0.25">
      <c r="A7" s="22" t="s">
        <v>13</v>
      </c>
      <c r="B7" s="22" t="s">
        <v>37</v>
      </c>
      <c r="C7" s="4">
        <v>2000</v>
      </c>
      <c r="D7" s="4">
        <v>40</v>
      </c>
      <c r="E7" s="4">
        <v>40</v>
      </c>
      <c r="F7" s="6">
        <v>1</v>
      </c>
    </row>
    <row r="8" spans="1:6" x14ac:dyDescent="0.25">
      <c r="A8" s="22" t="s">
        <v>32</v>
      </c>
      <c r="B8" s="22" t="s">
        <v>33</v>
      </c>
      <c r="C8" s="4">
        <v>1956</v>
      </c>
      <c r="D8" s="4">
        <v>40</v>
      </c>
      <c r="E8" s="4">
        <v>40</v>
      </c>
      <c r="F8" s="6">
        <v>3</v>
      </c>
    </row>
    <row r="9" spans="1:6" x14ac:dyDescent="0.25">
      <c r="A9" s="22" t="s">
        <v>0</v>
      </c>
      <c r="B9" s="22" t="s">
        <v>78</v>
      </c>
      <c r="C9" s="4">
        <v>1956</v>
      </c>
      <c r="D9" s="4">
        <v>40</v>
      </c>
      <c r="E9" s="4">
        <v>40</v>
      </c>
      <c r="F9" s="6">
        <v>2</v>
      </c>
    </row>
    <row r="10" spans="1:6" x14ac:dyDescent="0.25">
      <c r="A10" s="22" t="s">
        <v>0</v>
      </c>
      <c r="B10" s="22" t="s">
        <v>29</v>
      </c>
      <c r="C10" s="4">
        <v>1940</v>
      </c>
      <c r="D10" s="4">
        <v>40</v>
      </c>
      <c r="E10" s="4">
        <v>40</v>
      </c>
      <c r="F10" s="6">
        <v>11</v>
      </c>
    </row>
    <row r="11" spans="1:6" x14ac:dyDescent="0.25">
      <c r="A11" s="22" t="s">
        <v>0</v>
      </c>
      <c r="B11" s="22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6" x14ac:dyDescent="0.25">
      <c r="A12" s="22" t="s">
        <v>0</v>
      </c>
      <c r="B12" s="22" t="s">
        <v>34</v>
      </c>
      <c r="C12" s="4">
        <v>1876</v>
      </c>
      <c r="D12" s="4">
        <v>40</v>
      </c>
      <c r="E12" s="4">
        <v>40</v>
      </c>
      <c r="F12" s="6">
        <v>1</v>
      </c>
    </row>
    <row r="13" spans="1:6" x14ac:dyDescent="0.25">
      <c r="A13" s="22" t="s">
        <v>0</v>
      </c>
      <c r="B13" s="22" t="s">
        <v>43</v>
      </c>
      <c r="C13" s="4">
        <v>1876</v>
      </c>
      <c r="D13" s="4">
        <v>40</v>
      </c>
      <c r="E13" s="4">
        <v>40</v>
      </c>
      <c r="F13" s="6">
        <v>2</v>
      </c>
    </row>
    <row r="14" spans="1:6" x14ac:dyDescent="0.25">
      <c r="A14" s="22" t="s">
        <v>13</v>
      </c>
      <c r="B14" s="22" t="s">
        <v>72</v>
      </c>
      <c r="C14" s="4">
        <v>1600</v>
      </c>
      <c r="D14" s="4">
        <v>40</v>
      </c>
      <c r="E14" s="4">
        <v>40</v>
      </c>
      <c r="F14" s="6">
        <v>1</v>
      </c>
    </row>
    <row r="15" spans="1:6" x14ac:dyDescent="0.25">
      <c r="A15" s="22" t="s">
        <v>45</v>
      </c>
      <c r="B15" s="22" t="s">
        <v>46</v>
      </c>
      <c r="C15" s="4">
        <v>1520</v>
      </c>
      <c r="D15" s="4">
        <v>40</v>
      </c>
      <c r="E15" s="4">
        <v>40</v>
      </c>
      <c r="F15" s="6">
        <v>6</v>
      </c>
    </row>
    <row r="16" spans="1:6" x14ac:dyDescent="0.25">
      <c r="A16" s="22" t="s">
        <v>13</v>
      </c>
      <c r="B16" s="22" t="s">
        <v>35</v>
      </c>
      <c r="C16" s="4">
        <v>1250</v>
      </c>
      <c r="D16" s="4">
        <v>40</v>
      </c>
      <c r="E16" s="4">
        <v>40</v>
      </c>
      <c r="F16" s="6">
        <v>12</v>
      </c>
    </row>
    <row r="17" spans="1:6" x14ac:dyDescent="0.25">
      <c r="A17" s="22" t="s">
        <v>26</v>
      </c>
      <c r="B17" s="22" t="s">
        <v>27</v>
      </c>
      <c r="C17" s="4">
        <v>940</v>
      </c>
      <c r="D17" s="4">
        <v>40</v>
      </c>
      <c r="E17" s="4">
        <v>40</v>
      </c>
      <c r="F17" s="6">
        <v>12</v>
      </c>
    </row>
    <row r="18" spans="1:6" x14ac:dyDescent="0.25">
      <c r="A18" s="22" t="s">
        <v>0</v>
      </c>
      <c r="B18" s="22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6" x14ac:dyDescent="0.25">
      <c r="A19" s="22" t="s">
        <v>8</v>
      </c>
      <c r="B19" s="22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6" x14ac:dyDescent="0.25">
      <c r="A20" s="22" t="s">
        <v>8</v>
      </c>
      <c r="B20" s="22" t="s">
        <v>30</v>
      </c>
      <c r="C20" s="4">
        <v>887</v>
      </c>
      <c r="D20" s="4">
        <v>40</v>
      </c>
      <c r="E20" s="4">
        <v>40</v>
      </c>
      <c r="F20" s="6">
        <v>2</v>
      </c>
    </row>
    <row r="21" spans="1:6" x14ac:dyDescent="0.25">
      <c r="A21" s="22" t="s">
        <v>8</v>
      </c>
      <c r="B21" s="22" t="s">
        <v>75</v>
      </c>
      <c r="C21" s="4">
        <v>424</v>
      </c>
      <c r="D21" s="4">
        <v>40</v>
      </c>
      <c r="E21" s="4">
        <v>40</v>
      </c>
      <c r="F21" s="6">
        <v>1</v>
      </c>
    </row>
    <row r="22" spans="1:6" x14ac:dyDescent="0.25">
      <c r="A22" s="22" t="s">
        <v>8</v>
      </c>
      <c r="B22" s="22" t="s">
        <v>76</v>
      </c>
      <c r="C22" s="4">
        <v>424</v>
      </c>
      <c r="D22" s="4">
        <v>40</v>
      </c>
      <c r="E22" s="4">
        <v>40</v>
      </c>
      <c r="F22" s="6">
        <v>1</v>
      </c>
    </row>
    <row r="23" spans="1:6" x14ac:dyDescent="0.25">
      <c r="A23" s="22" t="s">
        <v>8</v>
      </c>
      <c r="B23" s="22" t="s">
        <v>28</v>
      </c>
      <c r="C23" s="6">
        <v>404</v>
      </c>
      <c r="D23" s="6">
        <v>40</v>
      </c>
      <c r="E23" s="6">
        <v>40</v>
      </c>
      <c r="F23" s="6">
        <v>4</v>
      </c>
    </row>
    <row r="24" spans="1:6" x14ac:dyDescent="0.25">
      <c r="A24" s="22" t="s">
        <v>8</v>
      </c>
      <c r="B24" s="22" t="s">
        <v>50</v>
      </c>
      <c r="C24" s="4">
        <v>389</v>
      </c>
      <c r="D24" s="4">
        <v>40</v>
      </c>
      <c r="E24" s="4">
        <v>40</v>
      </c>
      <c r="F24" s="6">
        <v>1</v>
      </c>
    </row>
    <row r="25" spans="1:6" x14ac:dyDescent="0.25">
      <c r="A25" s="22" t="s">
        <v>8</v>
      </c>
      <c r="B25" s="22" t="s">
        <v>48</v>
      </c>
      <c r="C25" s="4">
        <v>351</v>
      </c>
      <c r="D25" s="4">
        <v>40</v>
      </c>
      <c r="E25" s="4">
        <v>40</v>
      </c>
      <c r="F25" s="6">
        <v>3</v>
      </c>
    </row>
    <row r="26" spans="1:6" x14ac:dyDescent="0.25">
      <c r="A26" s="22" t="s">
        <v>8</v>
      </c>
      <c r="B26" s="22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6" x14ac:dyDescent="0.25">
      <c r="A27" s="22" t="s">
        <v>13</v>
      </c>
      <c r="B27" s="22" t="s">
        <v>36</v>
      </c>
      <c r="C27" s="4">
        <v>300</v>
      </c>
      <c r="D27" s="4">
        <v>40</v>
      </c>
      <c r="E27" s="4">
        <v>40</v>
      </c>
      <c r="F27" s="6">
        <v>4</v>
      </c>
    </row>
    <row r="29" spans="1:6" x14ac:dyDescent="0.25">
      <c r="A29" s="5">
        <v>1</v>
      </c>
      <c r="B29" s="23" t="s">
        <v>102</v>
      </c>
      <c r="C29" s="5">
        <v>3000</v>
      </c>
      <c r="D29" s="5">
        <v>3</v>
      </c>
    </row>
    <row r="30" spans="1:6" x14ac:dyDescent="0.25">
      <c r="A30" s="5"/>
      <c r="B30" s="23" t="s">
        <v>26</v>
      </c>
      <c r="C30" s="5">
        <v>940</v>
      </c>
      <c r="D30" s="5">
        <v>3</v>
      </c>
    </row>
    <row r="31" spans="1:6" x14ac:dyDescent="0.25">
      <c r="A31" s="5"/>
      <c r="B31" s="23" t="s">
        <v>32</v>
      </c>
      <c r="C31" s="5">
        <v>1956</v>
      </c>
      <c r="D31" s="5">
        <v>3</v>
      </c>
    </row>
    <row r="32" spans="1:6" x14ac:dyDescent="0.25">
      <c r="A32" s="5"/>
      <c r="B32" s="23" t="s">
        <v>103</v>
      </c>
      <c r="C32" s="5">
        <f>SUM(C29,-1*C30,-1*C31)</f>
        <v>104</v>
      </c>
      <c r="D32" s="5">
        <v>3</v>
      </c>
    </row>
    <row r="33" spans="1:4" x14ac:dyDescent="0.25">
      <c r="A33" s="5"/>
    </row>
    <row r="34" spans="1:4" x14ac:dyDescent="0.25">
      <c r="A34" s="5">
        <v>2</v>
      </c>
      <c r="B34" s="23" t="s">
        <v>102</v>
      </c>
      <c r="C34" s="5">
        <v>3000</v>
      </c>
      <c r="D34" s="5">
        <v>1</v>
      </c>
    </row>
    <row r="35" spans="1:4" x14ac:dyDescent="0.25">
      <c r="A35" s="5"/>
      <c r="B35" s="22" t="s">
        <v>50</v>
      </c>
      <c r="C35" s="5">
        <v>389</v>
      </c>
      <c r="D35" s="5">
        <v>1</v>
      </c>
    </row>
    <row r="36" spans="1:4" x14ac:dyDescent="0.25">
      <c r="A36" s="5"/>
      <c r="B36" s="23" t="s">
        <v>28</v>
      </c>
      <c r="C36" s="5">
        <v>404</v>
      </c>
      <c r="D36" s="5">
        <v>1</v>
      </c>
    </row>
    <row r="37" spans="1:4" x14ac:dyDescent="0.25">
      <c r="A37" s="5"/>
      <c r="B37" s="23" t="s">
        <v>104</v>
      </c>
      <c r="C37" s="5">
        <v>940</v>
      </c>
      <c r="D37" s="5">
        <v>1</v>
      </c>
    </row>
    <row r="38" spans="1:4" x14ac:dyDescent="0.25">
      <c r="A38" s="5"/>
      <c r="B38" s="23" t="s">
        <v>35</v>
      </c>
      <c r="C38" s="5">
        <v>1250</v>
      </c>
      <c r="D38" s="5">
        <v>1</v>
      </c>
    </row>
    <row r="39" spans="1:4" x14ac:dyDescent="0.25">
      <c r="A39" s="5"/>
      <c r="B39" s="23" t="s">
        <v>103</v>
      </c>
      <c r="C39" s="5">
        <f>SUM(C34,-1*C35,-1*C36,-1*C37,-1*C38)</f>
        <v>17</v>
      </c>
      <c r="D39" s="5">
        <v>1</v>
      </c>
    </row>
    <row r="40" spans="1:4" x14ac:dyDescent="0.25">
      <c r="A40" s="5"/>
    </row>
    <row r="41" spans="1:4" x14ac:dyDescent="0.25">
      <c r="A41" s="5"/>
    </row>
    <row r="42" spans="1:4" x14ac:dyDescent="0.25">
      <c r="A42" s="5">
        <v>3</v>
      </c>
      <c r="B42" s="23" t="s">
        <v>102</v>
      </c>
      <c r="C42" s="5">
        <v>3000</v>
      </c>
      <c r="D42" s="5">
        <v>1</v>
      </c>
    </row>
    <row r="43" spans="1:4" x14ac:dyDescent="0.25">
      <c r="A43" s="5"/>
      <c r="B43" s="23" t="s">
        <v>36</v>
      </c>
      <c r="C43" s="5">
        <v>300</v>
      </c>
      <c r="D43" s="5">
        <v>1</v>
      </c>
    </row>
    <row r="44" spans="1:4" x14ac:dyDescent="0.25">
      <c r="A44" s="5"/>
      <c r="B44" s="23" t="s">
        <v>49</v>
      </c>
      <c r="C44" s="5">
        <v>350</v>
      </c>
      <c r="D44" s="5">
        <v>1</v>
      </c>
    </row>
    <row r="45" spans="1:4" x14ac:dyDescent="0.25">
      <c r="A45" s="5"/>
      <c r="B45" s="23" t="s">
        <v>75</v>
      </c>
      <c r="C45" s="5">
        <v>424</v>
      </c>
      <c r="D45" s="5">
        <v>1</v>
      </c>
    </row>
    <row r="46" spans="1:4" x14ac:dyDescent="0.25">
      <c r="A46" s="5"/>
      <c r="B46" s="23" t="s">
        <v>26</v>
      </c>
      <c r="C46" s="5">
        <v>940</v>
      </c>
      <c r="D46" s="5">
        <v>1</v>
      </c>
    </row>
    <row r="47" spans="1:4" x14ac:dyDescent="0.25">
      <c r="A47" s="5"/>
      <c r="B47" s="23" t="s">
        <v>103</v>
      </c>
      <c r="C47" s="5">
        <f>SUM(C42*-1,C43:C46)</f>
        <v>-986</v>
      </c>
    </row>
    <row r="48" spans="1:4" x14ac:dyDescent="0.25">
      <c r="A48" s="5"/>
    </row>
    <row r="49" spans="1:4" x14ac:dyDescent="0.25">
      <c r="A49" s="5">
        <v>4</v>
      </c>
      <c r="B49" s="23" t="s">
        <v>102</v>
      </c>
      <c r="C49" s="5">
        <v>3000</v>
      </c>
      <c r="D49" s="5">
        <v>1</v>
      </c>
    </row>
    <row r="50" spans="1:4" x14ac:dyDescent="0.25">
      <c r="A50" s="5"/>
      <c r="B50" s="23" t="s">
        <v>28</v>
      </c>
      <c r="C50" s="5">
        <v>404</v>
      </c>
      <c r="D50" s="5">
        <v>1</v>
      </c>
    </row>
    <row r="51" spans="1:4" x14ac:dyDescent="0.25">
      <c r="A51" s="5"/>
      <c r="B51" s="23" t="s">
        <v>28</v>
      </c>
      <c r="C51" s="5">
        <v>404</v>
      </c>
      <c r="D51" s="5">
        <v>1</v>
      </c>
    </row>
    <row r="52" spans="1:4" x14ac:dyDescent="0.25">
      <c r="A52" s="5"/>
      <c r="B52" s="23" t="s">
        <v>26</v>
      </c>
      <c r="C52" s="5">
        <v>940</v>
      </c>
      <c r="D52" s="5">
        <v>1</v>
      </c>
    </row>
    <row r="53" spans="1:4" x14ac:dyDescent="0.25">
      <c r="A53" s="5"/>
      <c r="B53" s="23" t="s">
        <v>35</v>
      </c>
      <c r="C53" s="5">
        <v>1250</v>
      </c>
      <c r="D53" s="5">
        <v>1</v>
      </c>
    </row>
    <row r="54" spans="1:4" x14ac:dyDescent="0.25">
      <c r="A54" s="5"/>
      <c r="B54" s="23" t="s">
        <v>103</v>
      </c>
      <c r="C54" s="5">
        <f>SUM(C49*-1,C50:C53)</f>
        <v>-2</v>
      </c>
    </row>
    <row r="55" spans="1:4" x14ac:dyDescent="0.25">
      <c r="A55" s="5"/>
    </row>
    <row r="56" spans="1:4" x14ac:dyDescent="0.25">
      <c r="A56" s="5">
        <v>5</v>
      </c>
      <c r="B56" s="23" t="s">
        <v>102</v>
      </c>
      <c r="C56" s="5">
        <v>3000</v>
      </c>
      <c r="D56" s="5">
        <v>1</v>
      </c>
    </row>
    <row r="57" spans="1:4" x14ac:dyDescent="0.25">
      <c r="A57" s="5"/>
      <c r="B57" s="23" t="s">
        <v>28</v>
      </c>
      <c r="C57" s="5">
        <v>404</v>
      </c>
      <c r="D57" s="5">
        <v>1</v>
      </c>
    </row>
    <row r="58" spans="1:4" x14ac:dyDescent="0.25">
      <c r="A58" s="5"/>
      <c r="B58" s="23" t="s">
        <v>29</v>
      </c>
      <c r="C58" s="5">
        <v>940</v>
      </c>
      <c r="D58" s="5">
        <v>1</v>
      </c>
    </row>
    <row r="59" spans="1:4" x14ac:dyDescent="0.25">
      <c r="A59" s="5"/>
      <c r="B59" s="23" t="s">
        <v>72</v>
      </c>
      <c r="C59" s="5">
        <v>1600</v>
      </c>
      <c r="D59" s="5">
        <v>1</v>
      </c>
    </row>
    <row r="60" spans="1:4" x14ac:dyDescent="0.25">
      <c r="A60" s="5"/>
      <c r="B60" s="23" t="s">
        <v>103</v>
      </c>
      <c r="C60" s="5">
        <f>SUM(C56*-1,C57:C59)</f>
        <v>-56</v>
      </c>
    </row>
    <row r="61" spans="1:4" x14ac:dyDescent="0.25">
      <c r="A61" s="5"/>
    </row>
    <row r="62" spans="1:4" x14ac:dyDescent="0.25">
      <c r="A62" s="5">
        <v>6</v>
      </c>
      <c r="B62" s="23" t="s">
        <v>102</v>
      </c>
      <c r="C62" s="5">
        <v>3000</v>
      </c>
      <c r="D62" s="5">
        <v>1</v>
      </c>
    </row>
    <row r="63" spans="1:4" x14ac:dyDescent="0.25">
      <c r="A63" s="5"/>
      <c r="B63" s="23" t="s">
        <v>49</v>
      </c>
      <c r="C63" s="5">
        <v>350</v>
      </c>
      <c r="D63" s="5">
        <v>1</v>
      </c>
    </row>
    <row r="64" spans="1:4" x14ac:dyDescent="0.25">
      <c r="A64" s="5"/>
      <c r="B64" s="23" t="s">
        <v>49</v>
      </c>
      <c r="C64" s="5">
        <v>350</v>
      </c>
      <c r="D64" s="5">
        <v>1</v>
      </c>
    </row>
    <row r="65" spans="1:4" x14ac:dyDescent="0.25">
      <c r="A65" s="5"/>
      <c r="B65" s="23" t="s">
        <v>49</v>
      </c>
      <c r="C65" s="5">
        <v>350</v>
      </c>
      <c r="D65" s="5">
        <v>1</v>
      </c>
    </row>
    <row r="66" spans="1:4" x14ac:dyDescent="0.25">
      <c r="A66" s="5"/>
      <c r="B66" s="23" t="s">
        <v>75</v>
      </c>
      <c r="C66" s="5">
        <v>424</v>
      </c>
      <c r="D66" s="5">
        <v>1</v>
      </c>
    </row>
    <row r="67" spans="1:4" x14ac:dyDescent="0.25">
      <c r="A67" s="5"/>
      <c r="B67" s="23" t="s">
        <v>45</v>
      </c>
      <c r="C67" s="5">
        <v>1520</v>
      </c>
      <c r="D67" s="5">
        <v>1</v>
      </c>
    </row>
    <row r="68" spans="1:4" x14ac:dyDescent="0.25">
      <c r="A68" s="5"/>
      <c r="B68" s="23" t="s">
        <v>103</v>
      </c>
      <c r="C68" s="5">
        <f>SUM(C62*-1,C63:C67)</f>
        <v>-6</v>
      </c>
    </row>
    <row r="69" spans="1:4" x14ac:dyDescent="0.25">
      <c r="A69" s="5"/>
    </row>
    <row r="70" spans="1:4" x14ac:dyDescent="0.25">
      <c r="A70" s="5">
        <v>7</v>
      </c>
      <c r="B70" s="23" t="s">
        <v>102</v>
      </c>
      <c r="C70" s="5">
        <v>3000</v>
      </c>
      <c r="D70" s="5">
        <v>1</v>
      </c>
    </row>
    <row r="71" spans="1:4" x14ac:dyDescent="0.25">
      <c r="A71" s="5"/>
      <c r="B71" s="23" t="s">
        <v>48</v>
      </c>
      <c r="C71" s="5">
        <v>351</v>
      </c>
      <c r="D71" s="5">
        <v>1</v>
      </c>
    </row>
    <row r="72" spans="1:4" x14ac:dyDescent="0.25">
      <c r="A72" s="5"/>
      <c r="B72" s="23" t="s">
        <v>48</v>
      </c>
      <c r="C72" s="5">
        <v>351</v>
      </c>
      <c r="D72" s="5">
        <v>1</v>
      </c>
    </row>
    <row r="73" spans="1:4" x14ac:dyDescent="0.25">
      <c r="A73" s="5"/>
      <c r="B73" s="23" t="s">
        <v>48</v>
      </c>
      <c r="C73" s="5">
        <v>351</v>
      </c>
      <c r="D73" s="5">
        <v>1</v>
      </c>
    </row>
    <row r="74" spans="1:4" x14ac:dyDescent="0.25">
      <c r="A74" s="5"/>
      <c r="B74" s="23" t="s">
        <v>26</v>
      </c>
      <c r="C74" s="5">
        <v>940</v>
      </c>
      <c r="D74" s="5">
        <v>1</v>
      </c>
    </row>
    <row r="75" spans="1:4" x14ac:dyDescent="0.25">
      <c r="A75" s="5"/>
      <c r="B75" s="23" t="s">
        <v>26</v>
      </c>
      <c r="C75" s="5">
        <v>940</v>
      </c>
      <c r="D75" s="5">
        <v>1</v>
      </c>
    </row>
    <row r="76" spans="1:4" x14ac:dyDescent="0.25">
      <c r="A76" s="5"/>
      <c r="B76" s="23" t="s">
        <v>103</v>
      </c>
      <c r="C76" s="5">
        <f>SUM(C70*-1,C71:C75)</f>
        <v>-67</v>
      </c>
    </row>
    <row r="77" spans="1:4" x14ac:dyDescent="0.25">
      <c r="A77" s="5"/>
    </row>
    <row r="78" spans="1:4" x14ac:dyDescent="0.25">
      <c r="A78" s="5">
        <v>8</v>
      </c>
      <c r="B78" s="23" t="s">
        <v>102</v>
      </c>
      <c r="C78" s="5">
        <v>3000</v>
      </c>
      <c r="D78" s="5">
        <v>1</v>
      </c>
    </row>
    <row r="79" spans="1:4" x14ac:dyDescent="0.25">
      <c r="A79" s="5"/>
      <c r="B79" s="23" t="s">
        <v>26</v>
      </c>
      <c r="C79" s="5">
        <v>940</v>
      </c>
      <c r="D79" s="5">
        <v>1</v>
      </c>
    </row>
    <row r="80" spans="1:4" x14ac:dyDescent="0.25">
      <c r="A80" s="5"/>
      <c r="B80" s="23" t="s">
        <v>37</v>
      </c>
      <c r="C80" s="5">
        <v>2000</v>
      </c>
      <c r="D80" s="5">
        <v>1</v>
      </c>
    </row>
    <row r="81" spans="1:4" x14ac:dyDescent="0.25">
      <c r="A81" s="5"/>
      <c r="B81" s="23" t="s">
        <v>103</v>
      </c>
      <c r="C81" s="5">
        <f>SUM(C78*-1,C79:C80)</f>
        <v>-60</v>
      </c>
    </row>
    <row r="82" spans="1:4" x14ac:dyDescent="0.25">
      <c r="A82" s="5"/>
    </row>
    <row r="83" spans="1:4" x14ac:dyDescent="0.25">
      <c r="A83" s="5">
        <v>9</v>
      </c>
      <c r="B83" s="23" t="s">
        <v>102</v>
      </c>
      <c r="C83" s="5">
        <v>3000</v>
      </c>
      <c r="D83" s="5">
        <v>1</v>
      </c>
    </row>
    <row r="84" spans="1:4" x14ac:dyDescent="0.25">
      <c r="A84" s="5"/>
      <c r="B84" s="23" t="s">
        <v>26</v>
      </c>
      <c r="C84" s="5">
        <v>940</v>
      </c>
      <c r="D84" s="5">
        <v>1</v>
      </c>
    </row>
    <row r="85" spans="1:4" x14ac:dyDescent="0.25">
      <c r="A85" s="5"/>
      <c r="B85" s="23" t="s">
        <v>29</v>
      </c>
      <c r="C85" s="5">
        <v>1940</v>
      </c>
      <c r="D85" s="5">
        <v>1</v>
      </c>
    </row>
    <row r="86" spans="1:4" x14ac:dyDescent="0.25">
      <c r="A86" s="5"/>
      <c r="B86" s="23" t="s">
        <v>103</v>
      </c>
      <c r="C86" s="5">
        <f>SUM(C83*-1,C84:C85)</f>
        <v>-120</v>
      </c>
    </row>
    <row r="87" spans="1:4" x14ac:dyDescent="0.25">
      <c r="A87" s="5"/>
    </row>
    <row r="88" spans="1:4" x14ac:dyDescent="0.25">
      <c r="A88" s="5">
        <v>10</v>
      </c>
      <c r="B88" s="23" t="s">
        <v>102</v>
      </c>
      <c r="C88" s="5">
        <v>3000</v>
      </c>
      <c r="D88" s="5">
        <v>1</v>
      </c>
    </row>
    <row r="89" spans="1:4" x14ac:dyDescent="0.25">
      <c r="A89" s="5"/>
      <c r="B89" s="22" t="s">
        <v>49</v>
      </c>
      <c r="C89" s="5">
        <v>350</v>
      </c>
      <c r="D89" s="5">
        <v>1</v>
      </c>
    </row>
    <row r="90" spans="1:4" x14ac:dyDescent="0.25">
      <c r="A90" s="5"/>
      <c r="B90" s="23" t="s">
        <v>35</v>
      </c>
      <c r="C90" s="5">
        <v>1250</v>
      </c>
      <c r="D90" s="5">
        <v>1</v>
      </c>
    </row>
    <row r="91" spans="1:4" x14ac:dyDescent="0.25">
      <c r="A91" s="5"/>
      <c r="B91" s="23" t="s">
        <v>103</v>
      </c>
      <c r="C91" s="5">
        <f>SUM(C88*-1,C89:C90)</f>
        <v>-1400</v>
      </c>
    </row>
    <row r="92" spans="1:4" x14ac:dyDescent="0.25">
      <c r="A92" s="5"/>
    </row>
    <row r="93" spans="1:4" x14ac:dyDescent="0.25">
      <c r="A93" s="5">
        <v>11</v>
      </c>
      <c r="B93" s="23" t="s">
        <v>102</v>
      </c>
      <c r="C93" s="5">
        <v>2000</v>
      </c>
      <c r="D93" s="5">
        <v>10</v>
      </c>
    </row>
    <row r="94" spans="1:4" x14ac:dyDescent="0.25">
      <c r="A94" s="5"/>
      <c r="B94" s="23" t="s">
        <v>29</v>
      </c>
      <c r="C94" s="5">
        <v>1940</v>
      </c>
      <c r="D94" s="5">
        <v>10</v>
      </c>
    </row>
    <row r="95" spans="1:4" x14ac:dyDescent="0.25">
      <c r="A95" s="5"/>
      <c r="B95" s="23" t="s">
        <v>103</v>
      </c>
      <c r="C95" s="5">
        <f>SUM(C93*-1,C94)</f>
        <v>-60</v>
      </c>
    </row>
    <row r="96" spans="1:4" x14ac:dyDescent="0.25">
      <c r="A96" s="5"/>
    </row>
    <row r="97" spans="1:4" x14ac:dyDescent="0.25">
      <c r="A97" s="5">
        <v>12</v>
      </c>
      <c r="B97" s="23" t="s">
        <v>102</v>
      </c>
      <c r="C97" s="5">
        <v>2000</v>
      </c>
      <c r="D97" s="5">
        <v>8</v>
      </c>
    </row>
    <row r="98" spans="1:4" x14ac:dyDescent="0.25">
      <c r="A98" s="5"/>
      <c r="B98" s="23" t="s">
        <v>35</v>
      </c>
      <c r="C98" s="5">
        <v>1250</v>
      </c>
      <c r="D98" s="5">
        <v>8</v>
      </c>
    </row>
    <row r="99" spans="1:4" x14ac:dyDescent="0.25">
      <c r="A99" s="5"/>
      <c r="B99" s="23" t="s">
        <v>103</v>
      </c>
      <c r="C99" s="5">
        <f>SUM(C97*-1,C98)</f>
        <v>-750</v>
      </c>
    </row>
    <row r="100" spans="1:4" x14ac:dyDescent="0.25">
      <c r="A100" s="5"/>
    </row>
    <row r="101" spans="1:4" x14ac:dyDescent="0.25">
      <c r="A101" s="5">
        <v>13</v>
      </c>
      <c r="B101" s="23" t="s">
        <v>102</v>
      </c>
      <c r="C101" s="5">
        <v>2000</v>
      </c>
      <c r="D101" s="5">
        <v>5</v>
      </c>
    </row>
    <row r="102" spans="1:4" x14ac:dyDescent="0.25">
      <c r="A102" s="5"/>
      <c r="B102" s="23" t="s">
        <v>52</v>
      </c>
      <c r="C102" s="5">
        <v>1900</v>
      </c>
      <c r="D102" s="5">
        <v>5</v>
      </c>
    </row>
    <row r="103" spans="1:4" x14ac:dyDescent="0.25">
      <c r="A103" s="5"/>
      <c r="B103" s="23" t="s">
        <v>103</v>
      </c>
      <c r="C103" s="5">
        <f>SUM(C101*-1,C102)</f>
        <v>-100</v>
      </c>
    </row>
    <row r="104" spans="1:4" x14ac:dyDescent="0.25">
      <c r="A104" s="5"/>
    </row>
    <row r="105" spans="1:4" x14ac:dyDescent="0.25">
      <c r="A105" s="5">
        <v>14</v>
      </c>
      <c r="B105" s="23" t="s">
        <v>102</v>
      </c>
      <c r="C105" s="5">
        <v>2000</v>
      </c>
      <c r="D105" s="5">
        <v>5</v>
      </c>
    </row>
    <row r="106" spans="1:4" x14ac:dyDescent="0.25">
      <c r="A106" s="5"/>
      <c r="B106" s="23" t="s">
        <v>46</v>
      </c>
      <c r="C106" s="5">
        <v>1520</v>
      </c>
      <c r="D106" s="5">
        <v>5</v>
      </c>
    </row>
    <row r="107" spans="1:4" x14ac:dyDescent="0.25">
      <c r="A107" s="5"/>
      <c r="B107" s="23" t="s">
        <v>103</v>
      </c>
      <c r="C107" s="5">
        <f>SUM(C105*-1,C106)</f>
        <v>-480</v>
      </c>
    </row>
    <row r="108" spans="1:4" x14ac:dyDescent="0.25">
      <c r="A108" s="5"/>
    </row>
    <row r="109" spans="1:4" x14ac:dyDescent="0.25">
      <c r="A109" s="5">
        <v>15</v>
      </c>
      <c r="B109" s="23" t="s">
        <v>102</v>
      </c>
      <c r="C109" s="5">
        <v>2000</v>
      </c>
      <c r="D109" s="5">
        <v>3</v>
      </c>
    </row>
    <row r="110" spans="1:4" x14ac:dyDescent="0.25">
      <c r="A110" s="5"/>
      <c r="B110" s="23" t="s">
        <v>105</v>
      </c>
      <c r="C110" s="5">
        <v>1876</v>
      </c>
      <c r="D110" s="5">
        <v>3</v>
      </c>
    </row>
    <row r="111" spans="1:4" x14ac:dyDescent="0.25">
      <c r="A111" s="5"/>
      <c r="B111" s="23" t="s">
        <v>103</v>
      </c>
      <c r="C111" s="5">
        <f>SUM(C109*-1,C110)</f>
        <v>-124</v>
      </c>
    </row>
    <row r="112" spans="1:4" x14ac:dyDescent="0.25">
      <c r="A112" s="5"/>
    </row>
    <row r="113" spans="1:4" x14ac:dyDescent="0.25">
      <c r="A113" s="5">
        <v>16</v>
      </c>
      <c r="B113" s="23" t="s">
        <v>102</v>
      </c>
      <c r="C113" s="5">
        <v>2000</v>
      </c>
      <c r="D113" s="5">
        <v>2</v>
      </c>
    </row>
    <row r="114" spans="1:4" x14ac:dyDescent="0.25">
      <c r="A114" s="5"/>
      <c r="B114" s="23" t="s">
        <v>106</v>
      </c>
      <c r="C114" s="5">
        <v>1956</v>
      </c>
    </row>
    <row r="115" spans="1:4" x14ac:dyDescent="0.25">
      <c r="A115" s="5"/>
      <c r="B115" s="23" t="s">
        <v>103</v>
      </c>
      <c r="C115" s="5">
        <f>SUM(C113*-1,C114)</f>
        <v>-44</v>
      </c>
    </row>
    <row r="116" spans="1:4" x14ac:dyDescent="0.25">
      <c r="A116" s="5"/>
    </row>
    <row r="117" spans="1:4" x14ac:dyDescent="0.25">
      <c r="A117" s="5">
        <v>17</v>
      </c>
      <c r="B117" s="23" t="s">
        <v>102</v>
      </c>
      <c r="C117" s="5">
        <v>2000</v>
      </c>
      <c r="D117" s="5">
        <v>1</v>
      </c>
    </row>
    <row r="118" spans="1:4" x14ac:dyDescent="0.25">
      <c r="A118" s="5"/>
      <c r="B118" s="23" t="s">
        <v>77</v>
      </c>
      <c r="C118" s="5">
        <v>907</v>
      </c>
      <c r="D118" s="5">
        <v>1</v>
      </c>
    </row>
    <row r="119" spans="1:4" x14ac:dyDescent="0.25">
      <c r="A119" s="5"/>
      <c r="B119" s="23" t="s">
        <v>30</v>
      </c>
      <c r="C119" s="5">
        <v>887</v>
      </c>
      <c r="D119" s="5">
        <v>1</v>
      </c>
    </row>
    <row r="120" spans="1:4" x14ac:dyDescent="0.25">
      <c r="A120" s="5"/>
      <c r="B120" s="23" t="s">
        <v>103</v>
      </c>
      <c r="C120" s="5">
        <f>SUM(C117*-1,C118:C119)</f>
        <v>-206</v>
      </c>
    </row>
    <row r="121" spans="1:4" x14ac:dyDescent="0.25">
      <c r="A121" s="5"/>
    </row>
    <row r="122" spans="1:4" x14ac:dyDescent="0.25">
      <c r="A122" s="5">
        <v>18</v>
      </c>
      <c r="B122" s="23" t="s">
        <v>102</v>
      </c>
      <c r="C122" s="5">
        <v>2000</v>
      </c>
      <c r="D122" s="5">
        <v>1</v>
      </c>
    </row>
    <row r="123" spans="1:4" x14ac:dyDescent="0.25">
      <c r="A123" s="5"/>
      <c r="B123" s="23" t="s">
        <v>51</v>
      </c>
      <c r="C123" s="5">
        <v>918</v>
      </c>
      <c r="D123" s="5">
        <v>1</v>
      </c>
    </row>
    <row r="124" spans="1:4" x14ac:dyDescent="0.25">
      <c r="A124" s="5"/>
      <c r="B124" s="23" t="s">
        <v>103</v>
      </c>
      <c r="C124" s="5">
        <f>SUM(C122*-1,C123)</f>
        <v>-1082</v>
      </c>
    </row>
    <row r="125" spans="1:4" x14ac:dyDescent="0.25">
      <c r="A125" s="5"/>
    </row>
    <row r="126" spans="1:4" x14ac:dyDescent="0.25">
      <c r="A126" s="5">
        <v>19</v>
      </c>
      <c r="B126" s="23" t="s">
        <v>102</v>
      </c>
      <c r="C126" s="5">
        <v>2000</v>
      </c>
      <c r="D126" s="5">
        <v>1</v>
      </c>
    </row>
    <row r="127" spans="1:4" x14ac:dyDescent="0.25">
      <c r="A127" s="5"/>
      <c r="B127" s="23" t="s">
        <v>30</v>
      </c>
      <c r="C127" s="5">
        <v>887</v>
      </c>
      <c r="D127" s="5">
        <v>1</v>
      </c>
    </row>
    <row r="128" spans="1:4" x14ac:dyDescent="0.25">
      <c r="A128" s="5"/>
      <c r="B128" s="23" t="s">
        <v>103</v>
      </c>
      <c r="C128" s="5">
        <f>SUM(C126*-1,C127)</f>
        <v>-1113</v>
      </c>
    </row>
  </sheetData>
  <mergeCells count="2">
    <mergeCell ref="A3:C3"/>
    <mergeCell ref="A4:C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635"/>
  <sheetViews>
    <sheetView topLeftCell="A46" workbookViewId="0">
      <selection activeCell="B61" sqref="B61"/>
    </sheetView>
  </sheetViews>
  <sheetFormatPr defaultRowHeight="15" x14ac:dyDescent="0.25"/>
  <cols>
    <col min="1" max="1" width="18.140625" customWidth="1"/>
    <col min="2" max="2" width="36.42578125" customWidth="1"/>
  </cols>
  <sheetData>
    <row r="3" spans="1:6" x14ac:dyDescent="0.25">
      <c r="B3" s="5" t="s">
        <v>85</v>
      </c>
    </row>
    <row r="5" spans="1:6" x14ac:dyDescent="0.25">
      <c r="A5" s="18" t="s">
        <v>56</v>
      </c>
      <c r="B5" s="18" t="s">
        <v>55</v>
      </c>
      <c r="C5" s="4">
        <v>1900</v>
      </c>
      <c r="D5" s="4">
        <v>40</v>
      </c>
      <c r="E5" s="4">
        <v>20</v>
      </c>
      <c r="F5" s="6">
        <v>19</v>
      </c>
    </row>
    <row r="6" spans="1:6" x14ac:dyDescent="0.25">
      <c r="A6" s="18" t="s">
        <v>56</v>
      </c>
      <c r="B6" s="18" t="s">
        <v>66</v>
      </c>
      <c r="C6" s="6">
        <v>2000</v>
      </c>
      <c r="D6" s="6">
        <v>40</v>
      </c>
      <c r="E6" s="4">
        <v>20</v>
      </c>
      <c r="F6" s="6">
        <v>10</v>
      </c>
    </row>
    <row r="7" spans="1:6" x14ac:dyDescent="0.25">
      <c r="A7" s="18" t="s">
        <v>56</v>
      </c>
      <c r="B7" s="18" t="s">
        <v>68</v>
      </c>
      <c r="C7" s="6">
        <v>1900</v>
      </c>
      <c r="D7" s="6">
        <v>40</v>
      </c>
      <c r="E7" s="4">
        <v>20</v>
      </c>
      <c r="F7" s="6">
        <v>2</v>
      </c>
    </row>
    <row r="8" spans="1:6" x14ac:dyDescent="0.25">
      <c r="A8" s="18" t="s">
        <v>63</v>
      </c>
      <c r="B8" s="18" t="s">
        <v>74</v>
      </c>
      <c r="C8" s="6">
        <v>1640</v>
      </c>
      <c r="D8" s="6">
        <v>50</v>
      </c>
      <c r="E8" s="4">
        <v>20</v>
      </c>
      <c r="F8" s="6">
        <v>4</v>
      </c>
    </row>
    <row r="9" spans="1:6" x14ac:dyDescent="0.25">
      <c r="A9" s="18" t="s">
        <v>56</v>
      </c>
      <c r="B9" s="18" t="s">
        <v>64</v>
      </c>
      <c r="C9" s="6">
        <v>1600</v>
      </c>
      <c r="D9" s="6">
        <v>40</v>
      </c>
      <c r="E9" s="4">
        <v>20</v>
      </c>
      <c r="F9" s="6">
        <v>4</v>
      </c>
    </row>
    <row r="10" spans="1:6" x14ac:dyDescent="0.25">
      <c r="A10" s="18" t="s">
        <v>81</v>
      </c>
      <c r="B10" s="18" t="s">
        <v>73</v>
      </c>
      <c r="C10" s="6">
        <v>613</v>
      </c>
      <c r="D10" s="6">
        <v>40</v>
      </c>
      <c r="E10" s="4">
        <v>20</v>
      </c>
      <c r="F10" s="6">
        <v>6</v>
      </c>
    </row>
    <row r="11" spans="1:6" x14ac:dyDescent="0.25">
      <c r="A11" s="18" t="s">
        <v>39</v>
      </c>
      <c r="B11" s="18" t="s">
        <v>38</v>
      </c>
      <c r="C11" s="4">
        <v>1920</v>
      </c>
      <c r="D11" s="4">
        <v>40</v>
      </c>
      <c r="E11" s="4">
        <v>20</v>
      </c>
      <c r="F11" s="6">
        <v>5</v>
      </c>
    </row>
    <row r="12" spans="1:6" x14ac:dyDescent="0.25">
      <c r="A12" s="18" t="s">
        <v>39</v>
      </c>
      <c r="B12" s="18" t="s">
        <v>47</v>
      </c>
      <c r="C12" s="4">
        <v>1520</v>
      </c>
      <c r="D12" s="4">
        <v>40</v>
      </c>
      <c r="E12" s="4">
        <v>20</v>
      </c>
      <c r="F12" s="6">
        <v>4</v>
      </c>
    </row>
    <row r="13" spans="1:6" x14ac:dyDescent="0.25">
      <c r="A13" s="18" t="s">
        <v>39</v>
      </c>
      <c r="B13" s="18" t="s">
        <v>40</v>
      </c>
      <c r="C13" s="4">
        <v>940</v>
      </c>
      <c r="D13" s="4">
        <v>40</v>
      </c>
      <c r="E13" s="4">
        <v>20</v>
      </c>
      <c r="F13" s="6">
        <v>2</v>
      </c>
    </row>
    <row r="14" spans="1:6" x14ac:dyDescent="0.25">
      <c r="A14" s="18" t="s">
        <v>39</v>
      </c>
      <c r="B14" s="18" t="s">
        <v>41</v>
      </c>
      <c r="C14" s="4">
        <v>553</v>
      </c>
      <c r="D14" s="4">
        <v>40</v>
      </c>
      <c r="E14" s="4">
        <v>20</v>
      </c>
      <c r="F14" s="6">
        <v>1</v>
      </c>
    </row>
    <row r="15" spans="1:6" x14ac:dyDescent="0.25">
      <c r="A15" s="18" t="s">
        <v>39</v>
      </c>
      <c r="B15" s="18" t="s">
        <v>42</v>
      </c>
      <c r="C15" s="4">
        <v>545</v>
      </c>
      <c r="D15" s="4">
        <v>40</v>
      </c>
      <c r="E15" s="4">
        <v>20</v>
      </c>
      <c r="F15" s="6">
        <v>1</v>
      </c>
    </row>
    <row r="17" spans="1:6" x14ac:dyDescent="0.25">
      <c r="A17" s="5"/>
    </row>
    <row r="18" spans="1:6" x14ac:dyDescent="0.25">
      <c r="A18" s="5"/>
    </row>
    <row r="19" spans="1:6" x14ac:dyDescent="0.25">
      <c r="A19" s="5">
        <v>1</v>
      </c>
      <c r="B19" s="23" t="s">
        <v>102</v>
      </c>
      <c r="C19" s="5">
        <v>2000</v>
      </c>
      <c r="D19" s="5">
        <v>21</v>
      </c>
      <c r="E19" s="5"/>
      <c r="F19" s="5"/>
    </row>
    <row r="20" spans="1:6" x14ac:dyDescent="0.25">
      <c r="A20" s="5"/>
      <c r="B20" s="18" t="s">
        <v>68</v>
      </c>
      <c r="C20" s="5">
        <v>1900</v>
      </c>
      <c r="D20" s="5">
        <v>21</v>
      </c>
      <c r="E20" s="5"/>
      <c r="F20" s="5"/>
    </row>
    <row r="21" spans="1:6" x14ac:dyDescent="0.25">
      <c r="A21" s="5"/>
      <c r="B21" t="s">
        <v>103</v>
      </c>
      <c r="C21" s="5">
        <f>SUM(C19*-1,C20)</f>
        <v>-100</v>
      </c>
      <c r="D21" s="5"/>
      <c r="E21" s="5"/>
      <c r="F21" s="5"/>
    </row>
    <row r="22" spans="1:6" x14ac:dyDescent="0.25">
      <c r="A22" s="5"/>
      <c r="C22" s="5"/>
      <c r="D22" s="5"/>
      <c r="E22" s="5"/>
      <c r="F22" s="5"/>
    </row>
    <row r="23" spans="1:6" x14ac:dyDescent="0.25">
      <c r="A23" s="5">
        <v>2</v>
      </c>
      <c r="B23" s="23" t="s">
        <v>102</v>
      </c>
      <c r="C23" s="5">
        <v>2000</v>
      </c>
      <c r="D23" s="5">
        <v>10</v>
      </c>
      <c r="E23" s="5"/>
      <c r="F23" s="5"/>
    </row>
    <row r="24" spans="1:6" x14ac:dyDescent="0.25">
      <c r="A24" s="5"/>
      <c r="B24" s="18" t="s">
        <v>66</v>
      </c>
      <c r="C24" s="5">
        <v>2000</v>
      </c>
      <c r="D24" s="5">
        <v>10</v>
      </c>
      <c r="E24" s="5"/>
      <c r="F24" s="5"/>
    </row>
    <row r="25" spans="1:6" x14ac:dyDescent="0.25">
      <c r="A25" s="5"/>
      <c r="B25" t="s">
        <v>103</v>
      </c>
      <c r="C25" s="5">
        <f>SUM(C23*-1,C24)</f>
        <v>0</v>
      </c>
      <c r="D25" s="5"/>
      <c r="E25" s="5"/>
      <c r="F25" s="5"/>
    </row>
    <row r="26" spans="1:6" x14ac:dyDescent="0.25">
      <c r="A26" s="5"/>
      <c r="C26" s="5"/>
      <c r="D26" s="5"/>
      <c r="E26" s="5"/>
      <c r="F26" s="5"/>
    </row>
    <row r="27" spans="1:6" x14ac:dyDescent="0.25">
      <c r="A27" s="5">
        <v>3</v>
      </c>
      <c r="B27" s="23" t="s">
        <v>102</v>
      </c>
      <c r="C27" s="5">
        <v>2000</v>
      </c>
      <c r="D27" s="5">
        <v>5</v>
      </c>
      <c r="E27" s="5"/>
      <c r="F27" s="5"/>
    </row>
    <row r="28" spans="1:6" x14ac:dyDescent="0.25">
      <c r="A28" s="5"/>
      <c r="B28" s="18" t="s">
        <v>38</v>
      </c>
      <c r="C28" s="5">
        <v>1920</v>
      </c>
      <c r="D28" s="5">
        <v>5</v>
      </c>
      <c r="E28" s="5"/>
      <c r="F28" s="5"/>
    </row>
    <row r="29" spans="1:6" x14ac:dyDescent="0.25">
      <c r="A29" s="5"/>
      <c r="B29" t="s">
        <v>103</v>
      </c>
      <c r="C29" s="5">
        <f>SUM(C27*-1,C28)</f>
        <v>-80</v>
      </c>
      <c r="D29" s="5"/>
      <c r="E29" s="5"/>
      <c r="F29" s="5"/>
    </row>
    <row r="30" spans="1:6" x14ac:dyDescent="0.25">
      <c r="A30" s="5"/>
      <c r="C30" s="5"/>
      <c r="D30" s="5"/>
      <c r="E30" s="5"/>
      <c r="F30" s="5"/>
    </row>
    <row r="31" spans="1:6" x14ac:dyDescent="0.25">
      <c r="A31" s="5">
        <v>4</v>
      </c>
      <c r="B31" s="23" t="s">
        <v>102</v>
      </c>
      <c r="C31" s="5">
        <v>2000</v>
      </c>
      <c r="D31" s="5">
        <v>4</v>
      </c>
      <c r="E31" s="5"/>
      <c r="F31" s="5"/>
    </row>
    <row r="32" spans="1:6" x14ac:dyDescent="0.25">
      <c r="A32" s="5"/>
      <c r="B32" s="18" t="s">
        <v>74</v>
      </c>
      <c r="C32" s="5">
        <v>1640</v>
      </c>
      <c r="D32" s="5">
        <v>4</v>
      </c>
      <c r="E32" s="5"/>
      <c r="F32" s="5"/>
    </row>
    <row r="33" spans="1:6" x14ac:dyDescent="0.25">
      <c r="A33" s="5"/>
      <c r="B33" t="s">
        <v>103</v>
      </c>
      <c r="C33" s="5">
        <f>SUM(C31*-1,C32)</f>
        <v>-360</v>
      </c>
      <c r="D33" s="5"/>
      <c r="E33" s="5"/>
      <c r="F33" s="5"/>
    </row>
    <row r="34" spans="1:6" x14ac:dyDescent="0.25">
      <c r="A34" s="5"/>
      <c r="C34" s="5"/>
      <c r="D34" s="5"/>
      <c r="E34" s="5"/>
      <c r="F34" s="5"/>
    </row>
    <row r="35" spans="1:6" x14ac:dyDescent="0.25">
      <c r="A35" s="5">
        <v>5</v>
      </c>
      <c r="B35" s="23" t="s">
        <v>102</v>
      </c>
      <c r="C35" s="5">
        <v>2000</v>
      </c>
      <c r="D35" s="5">
        <v>4</v>
      </c>
      <c r="E35" s="5"/>
      <c r="F35" s="5"/>
    </row>
    <row r="36" spans="1:6" x14ac:dyDescent="0.25">
      <c r="A36" s="5"/>
      <c r="B36" t="s">
        <v>107</v>
      </c>
      <c r="C36" s="5">
        <v>1600</v>
      </c>
      <c r="D36" s="5">
        <v>4</v>
      </c>
      <c r="E36" s="5"/>
      <c r="F36" s="5"/>
    </row>
    <row r="37" spans="1:6" x14ac:dyDescent="0.25">
      <c r="A37" s="5"/>
      <c r="B37" t="s">
        <v>103</v>
      </c>
      <c r="C37" s="5">
        <f>SUM(C35*-1,C36)</f>
        <v>-400</v>
      </c>
      <c r="D37" s="5"/>
      <c r="E37" s="5"/>
      <c r="F37" s="5"/>
    </row>
    <row r="38" spans="1:6" x14ac:dyDescent="0.25">
      <c r="A38" s="5"/>
      <c r="C38" s="5"/>
      <c r="D38" s="5"/>
      <c r="E38" s="5"/>
      <c r="F38" s="5"/>
    </row>
    <row r="39" spans="1:6" x14ac:dyDescent="0.25">
      <c r="A39" s="5">
        <v>6</v>
      </c>
      <c r="B39" s="23" t="s">
        <v>102</v>
      </c>
      <c r="C39" s="5">
        <v>2000</v>
      </c>
      <c r="D39" s="5">
        <v>4</v>
      </c>
      <c r="E39" s="5"/>
      <c r="F39" s="5"/>
    </row>
    <row r="40" spans="1:6" x14ac:dyDescent="0.25">
      <c r="A40" s="5"/>
      <c r="B40" s="18" t="s">
        <v>47</v>
      </c>
      <c r="C40" s="5">
        <v>1520</v>
      </c>
      <c r="D40" s="5">
        <v>4</v>
      </c>
      <c r="E40" s="5"/>
      <c r="F40" s="5"/>
    </row>
    <row r="41" spans="1:6" x14ac:dyDescent="0.25">
      <c r="A41" s="5"/>
      <c r="B41" t="s">
        <v>103</v>
      </c>
      <c r="C41" s="5">
        <f>SUM(C39*-1,C40)</f>
        <v>-480</v>
      </c>
      <c r="D41" s="5"/>
      <c r="E41" s="5"/>
      <c r="F41" s="5"/>
    </row>
    <row r="42" spans="1:6" x14ac:dyDescent="0.25">
      <c r="A42" s="5"/>
      <c r="C42" s="5"/>
      <c r="D42" s="5"/>
      <c r="E42" s="5"/>
      <c r="F42" s="5"/>
    </row>
    <row r="43" spans="1:6" x14ac:dyDescent="0.25">
      <c r="A43" s="5">
        <v>7</v>
      </c>
      <c r="B43" s="23" t="s">
        <v>102</v>
      </c>
      <c r="C43" s="5">
        <v>2000</v>
      </c>
      <c r="D43" s="5">
        <v>2</v>
      </c>
      <c r="E43" s="5"/>
      <c r="F43" s="5"/>
    </row>
    <row r="44" spans="1:6" x14ac:dyDescent="0.25">
      <c r="A44" s="5"/>
      <c r="B44" s="18" t="s">
        <v>73</v>
      </c>
      <c r="C44" s="5">
        <v>613</v>
      </c>
      <c r="D44" s="5">
        <v>2</v>
      </c>
      <c r="E44" s="5"/>
      <c r="F44" s="5"/>
    </row>
    <row r="45" spans="1:6" x14ac:dyDescent="0.25">
      <c r="A45" s="5"/>
      <c r="B45" s="18" t="s">
        <v>73</v>
      </c>
      <c r="C45" s="5">
        <v>613</v>
      </c>
      <c r="D45" s="5">
        <v>2</v>
      </c>
      <c r="E45" s="5"/>
      <c r="F45" s="5"/>
    </row>
    <row r="46" spans="1:6" x14ac:dyDescent="0.25">
      <c r="A46" s="5"/>
      <c r="B46" s="18" t="s">
        <v>73</v>
      </c>
      <c r="C46" s="5">
        <v>613</v>
      </c>
      <c r="D46" s="5">
        <v>2</v>
      </c>
      <c r="E46" s="5"/>
      <c r="F46" s="5"/>
    </row>
    <row r="47" spans="1:6" x14ac:dyDescent="0.25">
      <c r="A47" s="5"/>
      <c r="B47" t="s">
        <v>103</v>
      </c>
      <c r="C47" s="5">
        <f>SUM(C43*-1,C44:C46)</f>
        <v>-161</v>
      </c>
      <c r="D47" s="5"/>
      <c r="E47" s="5"/>
      <c r="F47" s="5"/>
    </row>
    <row r="48" spans="1:6" x14ac:dyDescent="0.25">
      <c r="A48" s="5"/>
      <c r="C48" s="5"/>
      <c r="D48" s="5"/>
      <c r="E48" s="5"/>
      <c r="F48" s="5"/>
    </row>
    <row r="49" spans="1:6" x14ac:dyDescent="0.25">
      <c r="A49" s="5">
        <v>8</v>
      </c>
      <c r="B49" s="23" t="s">
        <v>102</v>
      </c>
      <c r="C49" s="5">
        <v>2000</v>
      </c>
      <c r="D49" s="5">
        <v>1</v>
      </c>
      <c r="E49" s="5"/>
      <c r="F49" s="5"/>
    </row>
    <row r="50" spans="1:6" x14ac:dyDescent="0.25">
      <c r="A50" s="5"/>
      <c r="B50" t="s">
        <v>41</v>
      </c>
      <c r="C50" s="5">
        <v>533</v>
      </c>
      <c r="D50" s="5">
        <v>1</v>
      </c>
      <c r="E50" s="5"/>
      <c r="F50" s="5"/>
    </row>
    <row r="51" spans="1:6" x14ac:dyDescent="0.25">
      <c r="A51" s="5"/>
      <c r="B51" t="s">
        <v>42</v>
      </c>
      <c r="C51" s="5">
        <v>545</v>
      </c>
      <c r="D51" s="5">
        <v>1</v>
      </c>
      <c r="E51" s="5"/>
      <c r="F51" s="5"/>
    </row>
    <row r="52" spans="1:6" x14ac:dyDescent="0.25">
      <c r="A52" s="5"/>
      <c r="B52" t="s">
        <v>103</v>
      </c>
      <c r="C52" s="5">
        <f>SUM(C49*-1,C50:C51)</f>
        <v>-922</v>
      </c>
      <c r="D52" s="5"/>
      <c r="E52" s="5"/>
      <c r="F52" s="5"/>
    </row>
    <row r="53" spans="1:6" x14ac:dyDescent="0.25">
      <c r="A53" s="5"/>
      <c r="C53" s="5"/>
      <c r="D53" s="5"/>
      <c r="E53" s="5"/>
      <c r="F53" s="5"/>
    </row>
    <row r="54" spans="1:6" x14ac:dyDescent="0.25">
      <c r="A54" s="5">
        <v>9</v>
      </c>
      <c r="B54" s="23" t="s">
        <v>102</v>
      </c>
      <c r="C54" s="5">
        <v>2000</v>
      </c>
      <c r="D54" s="5">
        <v>1</v>
      </c>
      <c r="E54" s="5"/>
      <c r="F54" s="5"/>
    </row>
    <row r="55" spans="1:6" x14ac:dyDescent="0.25">
      <c r="A55" s="5"/>
      <c r="B55" t="s">
        <v>40</v>
      </c>
      <c r="C55" s="5">
        <v>940</v>
      </c>
      <c r="D55" s="5">
        <v>1</v>
      </c>
      <c r="E55" s="5"/>
      <c r="F55" s="5"/>
    </row>
    <row r="56" spans="1:6" x14ac:dyDescent="0.25">
      <c r="A56" s="5"/>
      <c r="B56" t="s">
        <v>40</v>
      </c>
      <c r="C56" s="5">
        <v>940</v>
      </c>
      <c r="D56" s="5">
        <v>1</v>
      </c>
      <c r="E56" s="5"/>
      <c r="F56" s="5"/>
    </row>
    <row r="57" spans="1:6" x14ac:dyDescent="0.25">
      <c r="A57" s="5"/>
      <c r="B57" t="s">
        <v>103</v>
      </c>
      <c r="C57" s="5">
        <f>SUM(C54*-1,C55:C56)</f>
        <v>-120</v>
      </c>
      <c r="D57" s="5"/>
      <c r="E57" s="5"/>
      <c r="F57" s="5"/>
    </row>
    <row r="58" spans="1:6" x14ac:dyDescent="0.25">
      <c r="A58" s="5"/>
      <c r="C58" s="5"/>
      <c r="D58" s="5"/>
      <c r="E58" s="5"/>
      <c r="F58" s="5"/>
    </row>
    <row r="59" spans="1:6" x14ac:dyDescent="0.25">
      <c r="A59" s="5"/>
      <c r="C59" s="5"/>
      <c r="D59" s="5"/>
      <c r="E59" s="5"/>
      <c r="F59" s="5"/>
    </row>
    <row r="60" spans="1:6" x14ac:dyDescent="0.25">
      <c r="A60" s="5"/>
      <c r="C60" s="5"/>
      <c r="D60" s="5"/>
      <c r="E60" s="5"/>
      <c r="F60" s="5"/>
    </row>
    <row r="61" spans="1:6" x14ac:dyDescent="0.25">
      <c r="A61" s="5"/>
      <c r="C61" s="5"/>
      <c r="D61" s="5"/>
      <c r="E61" s="5"/>
      <c r="F61" s="5"/>
    </row>
    <row r="62" spans="1:6" x14ac:dyDescent="0.25">
      <c r="A62" s="5"/>
      <c r="C62" s="5"/>
      <c r="D62" s="5"/>
      <c r="E62" s="5"/>
      <c r="F62" s="5"/>
    </row>
    <row r="63" spans="1:6" x14ac:dyDescent="0.25">
      <c r="A63" s="5"/>
      <c r="C63" s="5"/>
      <c r="D63" s="5"/>
      <c r="E63" s="5"/>
      <c r="F63" s="5"/>
    </row>
    <row r="64" spans="1:6" x14ac:dyDescent="0.25">
      <c r="A64" s="5"/>
      <c r="C64" s="5"/>
      <c r="D64" s="5"/>
      <c r="E64" s="5"/>
      <c r="F64" s="5"/>
    </row>
    <row r="65" spans="1:6" x14ac:dyDescent="0.25">
      <c r="A65" s="5"/>
      <c r="C65" s="5"/>
      <c r="D65" s="5"/>
      <c r="E65" s="5"/>
      <c r="F65" s="5"/>
    </row>
    <row r="66" spans="1:6" x14ac:dyDescent="0.25">
      <c r="A66" s="5"/>
      <c r="C66" s="5"/>
      <c r="D66" s="5"/>
      <c r="E66" s="5"/>
      <c r="F66" s="5"/>
    </row>
    <row r="67" spans="1:6" x14ac:dyDescent="0.25">
      <c r="A67" s="5"/>
      <c r="C67" s="5"/>
      <c r="D67" s="5"/>
      <c r="E67" s="5"/>
      <c r="F67" s="5"/>
    </row>
    <row r="68" spans="1:6" x14ac:dyDescent="0.25">
      <c r="A68" s="5"/>
      <c r="C68" s="5"/>
      <c r="D68" s="5"/>
      <c r="E68" s="5"/>
      <c r="F68" s="5"/>
    </row>
    <row r="69" spans="1:6" x14ac:dyDescent="0.25">
      <c r="A69" s="5"/>
      <c r="C69" s="5"/>
      <c r="D69" s="5"/>
      <c r="E69" s="5"/>
      <c r="F69" s="5"/>
    </row>
    <row r="70" spans="1:6" x14ac:dyDescent="0.25">
      <c r="A70" s="5"/>
      <c r="C70" s="5"/>
      <c r="D70" s="5"/>
      <c r="E70" s="5"/>
      <c r="F70" s="5"/>
    </row>
    <row r="71" spans="1:6" x14ac:dyDescent="0.25">
      <c r="A71" s="5"/>
      <c r="C71" s="5"/>
      <c r="D71" s="5"/>
      <c r="E71" s="5"/>
      <c r="F71" s="5"/>
    </row>
    <row r="72" spans="1:6" x14ac:dyDescent="0.25">
      <c r="A72" s="5"/>
      <c r="C72" s="5"/>
      <c r="D72" s="5"/>
      <c r="E72" s="5"/>
      <c r="F72" s="5"/>
    </row>
    <row r="73" spans="1:6" x14ac:dyDescent="0.25">
      <c r="A73" s="5"/>
      <c r="C73" s="5"/>
      <c r="D73" s="5"/>
      <c r="E73" s="5"/>
      <c r="F73" s="5"/>
    </row>
    <row r="74" spans="1:6" x14ac:dyDescent="0.25">
      <c r="A74" s="5"/>
      <c r="C74" s="5"/>
      <c r="D74" s="5"/>
      <c r="E74" s="5"/>
      <c r="F74" s="5"/>
    </row>
    <row r="75" spans="1:6" x14ac:dyDescent="0.25">
      <c r="A75" s="5"/>
      <c r="C75" s="5"/>
      <c r="D75" s="5"/>
      <c r="E75" s="5"/>
      <c r="F75" s="5"/>
    </row>
    <row r="76" spans="1:6" x14ac:dyDescent="0.25">
      <c r="A76" s="5"/>
      <c r="C76" s="5"/>
      <c r="D76" s="5"/>
      <c r="E76" s="5"/>
      <c r="F76" s="5"/>
    </row>
    <row r="77" spans="1:6" x14ac:dyDescent="0.25">
      <c r="A77" s="5"/>
      <c r="C77" s="5"/>
      <c r="D77" s="5"/>
      <c r="E77" s="5"/>
      <c r="F77" s="5"/>
    </row>
    <row r="78" spans="1:6" x14ac:dyDescent="0.25">
      <c r="A78" s="5"/>
      <c r="C78" s="5"/>
      <c r="D78" s="5"/>
      <c r="E78" s="5"/>
      <c r="F78" s="5"/>
    </row>
    <row r="79" spans="1:6" x14ac:dyDescent="0.25">
      <c r="A79" s="5"/>
      <c r="C79" s="5"/>
      <c r="D79" s="5"/>
      <c r="E79" s="5"/>
      <c r="F79" s="5"/>
    </row>
    <row r="80" spans="1:6" x14ac:dyDescent="0.25">
      <c r="A80" s="5"/>
      <c r="C80" s="5"/>
      <c r="D80" s="5"/>
      <c r="E80" s="5"/>
      <c r="F80" s="5"/>
    </row>
    <row r="81" spans="1:6" x14ac:dyDescent="0.25">
      <c r="A81" s="5"/>
      <c r="C81" s="5"/>
      <c r="D81" s="5"/>
      <c r="E81" s="5"/>
      <c r="F81" s="5"/>
    </row>
    <row r="82" spans="1:6" x14ac:dyDescent="0.25">
      <c r="A82" s="5"/>
      <c r="C82" s="5"/>
      <c r="D82" s="5"/>
      <c r="E82" s="5"/>
      <c r="F82" s="5"/>
    </row>
    <row r="83" spans="1:6" x14ac:dyDescent="0.25">
      <c r="A83" s="5"/>
      <c r="C83" s="5"/>
      <c r="D83" s="5"/>
      <c r="E83" s="5"/>
      <c r="F83" s="5"/>
    </row>
    <row r="84" spans="1:6" x14ac:dyDescent="0.25">
      <c r="A84" s="5"/>
      <c r="C84" s="5"/>
      <c r="D84" s="5"/>
      <c r="E84" s="5"/>
      <c r="F84" s="5"/>
    </row>
    <row r="85" spans="1:6" x14ac:dyDescent="0.25">
      <c r="A85" s="5"/>
      <c r="C85" s="5"/>
      <c r="D85" s="5"/>
      <c r="E85" s="5"/>
      <c r="F85" s="5"/>
    </row>
    <row r="86" spans="1:6" x14ac:dyDescent="0.25">
      <c r="A86" s="5"/>
      <c r="C86" s="5"/>
      <c r="D86" s="5"/>
      <c r="E86" s="5"/>
      <c r="F86" s="5"/>
    </row>
    <row r="87" spans="1:6" x14ac:dyDescent="0.25">
      <c r="A87" s="5"/>
      <c r="C87" s="5"/>
      <c r="D87" s="5"/>
      <c r="E87" s="5"/>
      <c r="F87" s="5"/>
    </row>
    <row r="88" spans="1:6" x14ac:dyDescent="0.25">
      <c r="A88" s="5"/>
      <c r="C88" s="5"/>
      <c r="D88" s="5"/>
      <c r="E88" s="5"/>
      <c r="F88" s="5"/>
    </row>
    <row r="89" spans="1:6" x14ac:dyDescent="0.25">
      <c r="A89" s="5"/>
      <c r="C89" s="5"/>
      <c r="D89" s="5"/>
      <c r="E89" s="5"/>
      <c r="F89" s="5"/>
    </row>
    <row r="90" spans="1:6" x14ac:dyDescent="0.25">
      <c r="A90" s="5"/>
      <c r="C90" s="5"/>
      <c r="D90" s="5"/>
      <c r="E90" s="5"/>
      <c r="F90" s="5"/>
    </row>
    <row r="91" spans="1:6" x14ac:dyDescent="0.25">
      <c r="A91" s="5"/>
      <c r="C91" s="5"/>
      <c r="D91" s="5"/>
      <c r="E91" s="5"/>
      <c r="F91" s="5"/>
    </row>
    <row r="92" spans="1:6" x14ac:dyDescent="0.25">
      <c r="A92" s="5"/>
      <c r="C92" s="5"/>
      <c r="D92" s="5"/>
      <c r="E92" s="5"/>
      <c r="F92" s="5"/>
    </row>
    <row r="93" spans="1:6" x14ac:dyDescent="0.25">
      <c r="A93" s="5"/>
      <c r="C93" s="5"/>
      <c r="D93" s="5"/>
      <c r="E93" s="5"/>
      <c r="F93" s="5"/>
    </row>
    <row r="94" spans="1:6" x14ac:dyDescent="0.25">
      <c r="A94" s="5"/>
      <c r="C94" s="5"/>
      <c r="D94" s="5"/>
      <c r="E94" s="5"/>
      <c r="F94" s="5"/>
    </row>
    <row r="95" spans="1:6" x14ac:dyDescent="0.25">
      <c r="A95" s="5"/>
      <c r="C95" s="5"/>
      <c r="D95" s="5"/>
      <c r="E95" s="5"/>
      <c r="F95" s="5"/>
    </row>
    <row r="96" spans="1:6" x14ac:dyDescent="0.25">
      <c r="A96" s="5"/>
      <c r="C96" s="5"/>
      <c r="D96" s="5"/>
      <c r="E96" s="5"/>
      <c r="F96" s="5"/>
    </row>
    <row r="97" spans="1:6" x14ac:dyDescent="0.25">
      <c r="A97" s="5"/>
      <c r="C97" s="5"/>
      <c r="D97" s="5"/>
      <c r="E97" s="5"/>
      <c r="F97" s="5"/>
    </row>
    <row r="98" spans="1:6" x14ac:dyDescent="0.25">
      <c r="A98" s="5"/>
      <c r="C98" s="5"/>
      <c r="D98" s="5"/>
      <c r="E98" s="5"/>
      <c r="F98" s="5"/>
    </row>
    <row r="99" spans="1:6" x14ac:dyDescent="0.25">
      <c r="A99" s="5"/>
      <c r="C99" s="5"/>
      <c r="D99" s="5"/>
      <c r="E99" s="5"/>
      <c r="F99" s="5"/>
    </row>
    <row r="100" spans="1:6" x14ac:dyDescent="0.25">
      <c r="A100" s="5"/>
      <c r="C100" s="5"/>
      <c r="D100" s="5"/>
      <c r="E100" s="5"/>
      <c r="F100" s="5"/>
    </row>
    <row r="101" spans="1:6" x14ac:dyDescent="0.25">
      <c r="A101" s="5"/>
      <c r="C101" s="5"/>
      <c r="D101" s="5"/>
      <c r="E101" s="5"/>
      <c r="F101" s="5"/>
    </row>
    <row r="102" spans="1:6" x14ac:dyDescent="0.25">
      <c r="A102" s="5"/>
      <c r="C102" s="5"/>
      <c r="D102" s="5"/>
      <c r="E102" s="5"/>
      <c r="F102" s="5"/>
    </row>
    <row r="103" spans="1:6" x14ac:dyDescent="0.25">
      <c r="A103" s="5"/>
      <c r="C103" s="5"/>
      <c r="D103" s="5"/>
      <c r="E103" s="5"/>
      <c r="F103" s="5"/>
    </row>
    <row r="104" spans="1:6" x14ac:dyDescent="0.25">
      <c r="A104" s="5"/>
      <c r="C104" s="5"/>
      <c r="D104" s="5"/>
      <c r="E104" s="5"/>
      <c r="F104" s="5"/>
    </row>
    <row r="105" spans="1:6" x14ac:dyDescent="0.25">
      <c r="A105" s="5"/>
      <c r="C105" s="5"/>
      <c r="D105" s="5"/>
      <c r="E105" s="5"/>
      <c r="F105" s="5"/>
    </row>
    <row r="106" spans="1:6" x14ac:dyDescent="0.25">
      <c r="A106" s="5"/>
      <c r="C106" s="5"/>
      <c r="D106" s="5"/>
      <c r="E106" s="5"/>
      <c r="F106" s="5"/>
    </row>
    <row r="107" spans="1:6" x14ac:dyDescent="0.25">
      <c r="A107" s="5"/>
      <c r="C107" s="5"/>
      <c r="D107" s="5"/>
      <c r="E107" s="5"/>
      <c r="F107" s="5"/>
    </row>
    <row r="108" spans="1:6" x14ac:dyDescent="0.25">
      <c r="A108" s="5"/>
      <c r="C108" s="5"/>
      <c r="D108" s="5"/>
      <c r="E108" s="5"/>
      <c r="F108" s="5"/>
    </row>
    <row r="109" spans="1:6" x14ac:dyDescent="0.25">
      <c r="A109" s="5"/>
      <c r="C109" s="5"/>
      <c r="D109" s="5"/>
      <c r="E109" s="5"/>
      <c r="F109" s="5"/>
    </row>
    <row r="110" spans="1:6" x14ac:dyDescent="0.25">
      <c r="A110" s="5"/>
      <c r="C110" s="5"/>
      <c r="D110" s="5"/>
      <c r="E110" s="5"/>
      <c r="F110" s="5"/>
    </row>
    <row r="111" spans="1:6" x14ac:dyDescent="0.25">
      <c r="A111" s="5"/>
      <c r="C111" s="5"/>
      <c r="D111" s="5"/>
      <c r="E111" s="5"/>
      <c r="F111" s="5"/>
    </row>
    <row r="112" spans="1:6" x14ac:dyDescent="0.25">
      <c r="A112" s="5"/>
      <c r="C112" s="5"/>
      <c r="D112" s="5"/>
      <c r="E112" s="5"/>
      <c r="F112" s="5"/>
    </row>
    <row r="113" spans="1:6" x14ac:dyDescent="0.25">
      <c r="A113" s="5"/>
      <c r="C113" s="5"/>
      <c r="D113" s="5"/>
      <c r="E113" s="5"/>
      <c r="F113" s="5"/>
    </row>
    <row r="114" spans="1:6" x14ac:dyDescent="0.25">
      <c r="A114" s="5"/>
      <c r="C114" s="5"/>
      <c r="D114" s="5"/>
      <c r="E114" s="5"/>
      <c r="F114" s="5"/>
    </row>
    <row r="115" spans="1:6" x14ac:dyDescent="0.25">
      <c r="A115" s="5"/>
      <c r="C115" s="5"/>
      <c r="D115" s="5"/>
      <c r="E115" s="5"/>
      <c r="F115" s="5"/>
    </row>
    <row r="116" spans="1:6" x14ac:dyDescent="0.25">
      <c r="A116" s="5"/>
      <c r="C116" s="5"/>
      <c r="D116" s="5"/>
      <c r="E116" s="5"/>
      <c r="F116" s="5"/>
    </row>
    <row r="117" spans="1:6" x14ac:dyDescent="0.25">
      <c r="A117" s="5"/>
      <c r="C117" s="5"/>
      <c r="D117" s="5"/>
      <c r="E117" s="5"/>
      <c r="F117" s="5"/>
    </row>
    <row r="118" spans="1:6" x14ac:dyDescent="0.25">
      <c r="A118" s="5"/>
      <c r="C118" s="5"/>
      <c r="D118" s="5"/>
      <c r="E118" s="5"/>
      <c r="F118" s="5"/>
    </row>
    <row r="119" spans="1:6" x14ac:dyDescent="0.25">
      <c r="A119" s="5"/>
      <c r="C119" s="5"/>
      <c r="D119" s="5"/>
      <c r="E119" s="5"/>
      <c r="F119" s="5"/>
    </row>
    <row r="120" spans="1:6" x14ac:dyDescent="0.25">
      <c r="A120" s="5"/>
      <c r="C120" s="5"/>
      <c r="D120" s="5"/>
      <c r="E120" s="5"/>
      <c r="F120" s="5"/>
    </row>
    <row r="121" spans="1:6" x14ac:dyDescent="0.25">
      <c r="A121" s="5"/>
      <c r="C121" s="5"/>
      <c r="D121" s="5"/>
      <c r="E121" s="5"/>
      <c r="F121" s="5"/>
    </row>
    <row r="122" spans="1:6" x14ac:dyDescent="0.25">
      <c r="A122" s="5"/>
      <c r="C122" s="5"/>
      <c r="D122" s="5"/>
      <c r="E122" s="5"/>
      <c r="F122" s="5"/>
    </row>
    <row r="123" spans="1:6" x14ac:dyDescent="0.25">
      <c r="A123" s="5"/>
      <c r="C123" s="5"/>
      <c r="D123" s="5"/>
      <c r="E123" s="5"/>
      <c r="F123" s="5"/>
    </row>
    <row r="124" spans="1:6" x14ac:dyDescent="0.25">
      <c r="A124" s="5"/>
      <c r="C124" s="5"/>
      <c r="D124" s="5"/>
      <c r="E124" s="5"/>
      <c r="F124" s="5"/>
    </row>
    <row r="125" spans="1:6" x14ac:dyDescent="0.25">
      <c r="A125" s="5"/>
      <c r="C125" s="5"/>
      <c r="D125" s="5"/>
      <c r="E125" s="5"/>
      <c r="F125" s="5"/>
    </row>
    <row r="126" spans="1:6" x14ac:dyDescent="0.25">
      <c r="A126" s="5"/>
      <c r="C126" s="5"/>
      <c r="D126" s="5"/>
      <c r="E126" s="5"/>
      <c r="F126" s="5"/>
    </row>
    <row r="127" spans="1:6" x14ac:dyDescent="0.25">
      <c r="A127" s="5"/>
      <c r="C127" s="5"/>
      <c r="D127" s="5"/>
      <c r="E127" s="5"/>
      <c r="F127" s="5"/>
    </row>
    <row r="128" spans="1:6" x14ac:dyDescent="0.25">
      <c r="A128" s="5"/>
      <c r="C128" s="5"/>
      <c r="D128" s="5"/>
      <c r="E128" s="5"/>
      <c r="F128" s="5"/>
    </row>
    <row r="129" spans="1:6" x14ac:dyDescent="0.25">
      <c r="A129" s="5"/>
      <c r="C129" s="5"/>
      <c r="D129" s="5"/>
      <c r="E129" s="5"/>
      <c r="F129" s="5"/>
    </row>
    <row r="130" spans="1:6" x14ac:dyDescent="0.25">
      <c r="A130" s="5"/>
      <c r="C130" s="5"/>
      <c r="D130" s="5"/>
      <c r="E130" s="5"/>
      <c r="F130" s="5"/>
    </row>
    <row r="131" spans="1:6" x14ac:dyDescent="0.25">
      <c r="A131" s="5"/>
      <c r="C131" s="5"/>
      <c r="D131" s="5"/>
      <c r="E131" s="5"/>
      <c r="F131" s="5"/>
    </row>
    <row r="132" spans="1:6" x14ac:dyDescent="0.25">
      <c r="A132" s="5"/>
      <c r="C132" s="5"/>
      <c r="D132" s="5"/>
      <c r="E132" s="5"/>
      <c r="F132" s="5"/>
    </row>
    <row r="133" spans="1:6" x14ac:dyDescent="0.25">
      <c r="A133" s="5"/>
      <c r="C133" s="5"/>
      <c r="D133" s="5"/>
      <c r="E133" s="5"/>
      <c r="F133" s="5"/>
    </row>
    <row r="134" spans="1:6" x14ac:dyDescent="0.25">
      <c r="A134" s="5"/>
      <c r="C134" s="5"/>
      <c r="D134" s="5"/>
      <c r="E134" s="5"/>
      <c r="F134" s="5"/>
    </row>
    <row r="135" spans="1:6" x14ac:dyDescent="0.25">
      <c r="A135" s="5"/>
      <c r="C135" s="5"/>
      <c r="D135" s="5"/>
      <c r="E135" s="5"/>
      <c r="F135" s="5"/>
    </row>
    <row r="136" spans="1:6" x14ac:dyDescent="0.25">
      <c r="A136" s="5"/>
      <c r="C136" s="5"/>
      <c r="D136" s="5"/>
      <c r="E136" s="5"/>
      <c r="F136" s="5"/>
    </row>
    <row r="137" spans="1:6" x14ac:dyDescent="0.25">
      <c r="A137" s="5"/>
      <c r="C137" s="5"/>
      <c r="D137" s="5"/>
      <c r="E137" s="5"/>
      <c r="F137" s="5"/>
    </row>
    <row r="138" spans="1:6" x14ac:dyDescent="0.25">
      <c r="A138" s="5"/>
      <c r="C138" s="5"/>
      <c r="D138" s="5"/>
      <c r="E138" s="5"/>
      <c r="F138" s="5"/>
    </row>
    <row r="139" spans="1:6" x14ac:dyDescent="0.25">
      <c r="A139" s="5"/>
      <c r="C139" s="5"/>
      <c r="D139" s="5"/>
      <c r="E139" s="5"/>
      <c r="F139" s="5"/>
    </row>
    <row r="140" spans="1:6" x14ac:dyDescent="0.25">
      <c r="A140" s="5"/>
      <c r="C140" s="5"/>
      <c r="D140" s="5"/>
      <c r="E140" s="5"/>
      <c r="F140" s="5"/>
    </row>
    <row r="141" spans="1:6" x14ac:dyDescent="0.25">
      <c r="A141" s="5"/>
      <c r="C141" s="5"/>
      <c r="D141" s="5"/>
      <c r="E141" s="5"/>
      <c r="F141" s="5"/>
    </row>
    <row r="142" spans="1:6" x14ac:dyDescent="0.25">
      <c r="A142" s="5"/>
      <c r="C142" s="5"/>
      <c r="D142" s="5"/>
      <c r="E142" s="5"/>
      <c r="F142" s="5"/>
    </row>
    <row r="143" spans="1:6" x14ac:dyDescent="0.25">
      <c r="A143" s="5"/>
      <c r="C143" s="5"/>
      <c r="D143" s="5"/>
      <c r="E143" s="5"/>
      <c r="F143" s="5"/>
    </row>
    <row r="144" spans="1:6" x14ac:dyDescent="0.25">
      <c r="A144" s="5"/>
      <c r="C144" s="5"/>
      <c r="D144" s="5"/>
      <c r="E144" s="5"/>
      <c r="F144" s="5"/>
    </row>
    <row r="145" spans="1:6" x14ac:dyDescent="0.25">
      <c r="A145" s="5"/>
      <c r="C145" s="5"/>
      <c r="D145" s="5"/>
      <c r="E145" s="5"/>
      <c r="F145" s="5"/>
    </row>
    <row r="146" spans="1:6" x14ac:dyDescent="0.25">
      <c r="A146" s="5"/>
      <c r="C146" s="5"/>
      <c r="D146" s="5"/>
      <c r="E146" s="5"/>
      <c r="F146" s="5"/>
    </row>
    <row r="147" spans="1:6" x14ac:dyDescent="0.25">
      <c r="A147" s="5"/>
      <c r="C147" s="5"/>
      <c r="D147" s="5"/>
      <c r="E147" s="5"/>
      <c r="F147" s="5"/>
    </row>
    <row r="148" spans="1:6" x14ac:dyDescent="0.25">
      <c r="A148" s="5"/>
      <c r="C148" s="5"/>
      <c r="D148" s="5"/>
      <c r="E148" s="5"/>
      <c r="F148" s="5"/>
    </row>
    <row r="149" spans="1:6" x14ac:dyDescent="0.25">
      <c r="A149" s="5"/>
      <c r="C149" s="5"/>
      <c r="D149" s="5"/>
      <c r="E149" s="5"/>
      <c r="F149" s="5"/>
    </row>
    <row r="150" spans="1:6" x14ac:dyDescent="0.25">
      <c r="A150" s="5"/>
      <c r="C150" s="5"/>
      <c r="D150" s="5"/>
      <c r="E150" s="5"/>
      <c r="F150" s="5"/>
    </row>
    <row r="151" spans="1:6" x14ac:dyDescent="0.25">
      <c r="A151" s="5"/>
      <c r="C151" s="5"/>
      <c r="D151" s="5"/>
      <c r="E151" s="5"/>
      <c r="F151" s="5"/>
    </row>
    <row r="152" spans="1:6" x14ac:dyDescent="0.25">
      <c r="A152" s="5"/>
      <c r="C152" s="5"/>
      <c r="D152" s="5"/>
      <c r="E152" s="5"/>
      <c r="F152" s="5"/>
    </row>
    <row r="153" spans="1:6" x14ac:dyDescent="0.25">
      <c r="A153" s="5"/>
      <c r="C153" s="5"/>
      <c r="D153" s="5"/>
      <c r="E153" s="5"/>
      <c r="F153" s="5"/>
    </row>
    <row r="154" spans="1:6" x14ac:dyDescent="0.25">
      <c r="A154" s="5"/>
      <c r="C154" s="5"/>
      <c r="D154" s="5"/>
      <c r="E154" s="5"/>
      <c r="F154" s="5"/>
    </row>
    <row r="155" spans="1:6" x14ac:dyDescent="0.25">
      <c r="A155" s="5"/>
      <c r="C155" s="5"/>
      <c r="D155" s="5"/>
      <c r="E155" s="5"/>
      <c r="F155" s="5"/>
    </row>
    <row r="156" spans="1:6" x14ac:dyDescent="0.25">
      <c r="A156" s="5"/>
      <c r="C156" s="5"/>
      <c r="D156" s="5"/>
      <c r="E156" s="5"/>
      <c r="F156" s="5"/>
    </row>
    <row r="157" spans="1:6" x14ac:dyDescent="0.25">
      <c r="A157" s="5"/>
      <c r="C157" s="5"/>
      <c r="D157" s="5"/>
      <c r="E157" s="5"/>
      <c r="F157" s="5"/>
    </row>
    <row r="158" spans="1:6" x14ac:dyDescent="0.25">
      <c r="A158" s="5"/>
      <c r="C158" s="5"/>
      <c r="D158" s="5"/>
      <c r="E158" s="5"/>
      <c r="F158" s="5"/>
    </row>
    <row r="159" spans="1:6" x14ac:dyDescent="0.25">
      <c r="A159" s="5"/>
      <c r="C159" s="5"/>
      <c r="D159" s="5"/>
      <c r="E159" s="5"/>
      <c r="F159" s="5"/>
    </row>
    <row r="160" spans="1:6" x14ac:dyDescent="0.25">
      <c r="A160" s="5"/>
      <c r="C160" s="5"/>
      <c r="D160" s="5"/>
      <c r="E160" s="5"/>
      <c r="F160" s="5"/>
    </row>
    <row r="161" spans="1:6" x14ac:dyDescent="0.25">
      <c r="A161" s="5"/>
      <c r="C161" s="5"/>
      <c r="D161" s="5"/>
      <c r="E161" s="5"/>
      <c r="F161" s="5"/>
    </row>
    <row r="162" spans="1:6" x14ac:dyDescent="0.25">
      <c r="A162" s="5"/>
      <c r="C162" s="5"/>
      <c r="D162" s="5"/>
      <c r="E162" s="5"/>
      <c r="F162" s="5"/>
    </row>
    <row r="163" spans="1:6" x14ac:dyDescent="0.25">
      <c r="A163" s="5"/>
      <c r="C163" s="5"/>
      <c r="D163" s="5"/>
      <c r="E163" s="5"/>
      <c r="F163" s="5"/>
    </row>
    <row r="164" spans="1:6" x14ac:dyDescent="0.25">
      <c r="A164" s="5"/>
      <c r="C164" s="5"/>
      <c r="D164" s="5"/>
      <c r="E164" s="5"/>
      <c r="F164" s="5"/>
    </row>
    <row r="165" spans="1:6" x14ac:dyDescent="0.25">
      <c r="A165" s="5"/>
      <c r="C165" s="5"/>
      <c r="D165" s="5"/>
      <c r="E165" s="5"/>
      <c r="F165" s="5"/>
    </row>
    <row r="166" spans="1:6" x14ac:dyDescent="0.25">
      <c r="A166" s="5"/>
      <c r="C166" s="5"/>
      <c r="D166" s="5"/>
      <c r="E166" s="5"/>
      <c r="F166" s="5"/>
    </row>
    <row r="167" spans="1:6" x14ac:dyDescent="0.25">
      <c r="A167" s="5"/>
      <c r="C167" s="5"/>
      <c r="D167" s="5"/>
      <c r="E167" s="5"/>
      <c r="F167" s="5"/>
    </row>
    <row r="168" spans="1:6" x14ac:dyDescent="0.25">
      <c r="A168" s="5"/>
      <c r="C168" s="5"/>
      <c r="D168" s="5"/>
      <c r="E168" s="5"/>
      <c r="F168" s="5"/>
    </row>
    <row r="169" spans="1:6" x14ac:dyDescent="0.25">
      <c r="A169" s="5"/>
      <c r="C169" s="5"/>
      <c r="D169" s="5"/>
      <c r="E169" s="5"/>
      <c r="F169" s="5"/>
    </row>
    <row r="170" spans="1:6" x14ac:dyDescent="0.25">
      <c r="A170" s="5"/>
      <c r="C170" s="5"/>
      <c r="D170" s="5"/>
      <c r="E170" s="5"/>
      <c r="F170" s="5"/>
    </row>
    <row r="171" spans="1:6" x14ac:dyDescent="0.25">
      <c r="A171" s="5"/>
      <c r="C171" s="5"/>
      <c r="D171" s="5"/>
      <c r="E171" s="5"/>
      <c r="F171" s="5"/>
    </row>
    <row r="172" spans="1:6" x14ac:dyDescent="0.25">
      <c r="A172" s="5"/>
      <c r="C172" s="5"/>
      <c r="D172" s="5"/>
      <c r="E172" s="5"/>
      <c r="F172" s="5"/>
    </row>
    <row r="173" spans="1:6" x14ac:dyDescent="0.25">
      <c r="A173" s="5"/>
      <c r="C173" s="5"/>
      <c r="D173" s="5"/>
      <c r="E173" s="5"/>
      <c r="F173" s="5"/>
    </row>
    <row r="174" spans="1:6" x14ac:dyDescent="0.25">
      <c r="A174" s="5"/>
      <c r="C174" s="5"/>
      <c r="D174" s="5"/>
      <c r="E174" s="5"/>
      <c r="F174" s="5"/>
    </row>
    <row r="175" spans="1:6" x14ac:dyDescent="0.25">
      <c r="A175" s="5"/>
      <c r="C175" s="5"/>
      <c r="D175" s="5"/>
      <c r="E175" s="5"/>
      <c r="F175" s="5"/>
    </row>
    <row r="176" spans="1:6" x14ac:dyDescent="0.25">
      <c r="A176" s="5"/>
      <c r="C176" s="5"/>
      <c r="D176" s="5"/>
      <c r="E176" s="5"/>
      <c r="F176" s="5"/>
    </row>
    <row r="177" spans="1:6" x14ac:dyDescent="0.25">
      <c r="A177" s="5"/>
      <c r="C177" s="5"/>
      <c r="D177" s="5"/>
      <c r="E177" s="5"/>
      <c r="F177" s="5"/>
    </row>
    <row r="178" spans="1:6" x14ac:dyDescent="0.25">
      <c r="A178" s="5"/>
      <c r="C178" s="5"/>
      <c r="D178" s="5"/>
      <c r="E178" s="5"/>
      <c r="F178" s="5"/>
    </row>
    <row r="179" spans="1:6" x14ac:dyDescent="0.25">
      <c r="A179" s="5"/>
      <c r="C179" s="5"/>
      <c r="D179" s="5"/>
      <c r="E179" s="5"/>
      <c r="F179" s="5"/>
    </row>
    <row r="180" spans="1:6" x14ac:dyDescent="0.25">
      <c r="A180" s="5"/>
      <c r="C180" s="5"/>
      <c r="D180" s="5"/>
      <c r="E180" s="5"/>
      <c r="F180" s="5"/>
    </row>
    <row r="181" spans="1:6" x14ac:dyDescent="0.25">
      <c r="A181" s="5"/>
      <c r="C181" s="5"/>
      <c r="D181" s="5"/>
      <c r="E181" s="5"/>
      <c r="F181" s="5"/>
    </row>
    <row r="182" spans="1:6" x14ac:dyDescent="0.25">
      <c r="A182" s="5"/>
      <c r="C182" s="5"/>
      <c r="D182" s="5"/>
      <c r="E182" s="5"/>
      <c r="F182" s="5"/>
    </row>
    <row r="183" spans="1:6" x14ac:dyDescent="0.25">
      <c r="A183" s="5"/>
      <c r="C183" s="5"/>
      <c r="D183" s="5"/>
      <c r="E183" s="5"/>
      <c r="F183" s="5"/>
    </row>
    <row r="184" spans="1:6" x14ac:dyDescent="0.25">
      <c r="A184" s="5"/>
      <c r="C184" s="5"/>
      <c r="D184" s="5"/>
      <c r="E184" s="5"/>
      <c r="F184" s="5"/>
    </row>
    <row r="185" spans="1:6" x14ac:dyDescent="0.25">
      <c r="A185" s="5"/>
      <c r="C185" s="5"/>
      <c r="D185" s="5"/>
      <c r="E185" s="5"/>
      <c r="F185" s="5"/>
    </row>
    <row r="186" spans="1:6" x14ac:dyDescent="0.25">
      <c r="A186" s="5"/>
      <c r="C186" s="5"/>
      <c r="D186" s="5"/>
      <c r="E186" s="5"/>
      <c r="F186" s="5"/>
    </row>
    <row r="187" spans="1:6" x14ac:dyDescent="0.25">
      <c r="A187" s="5"/>
      <c r="C187" s="5"/>
      <c r="D187" s="5"/>
      <c r="E187" s="5"/>
      <c r="F187" s="5"/>
    </row>
    <row r="188" spans="1:6" x14ac:dyDescent="0.25">
      <c r="A188" s="5"/>
      <c r="C188" s="5"/>
      <c r="D188" s="5"/>
      <c r="E188" s="5"/>
      <c r="F188" s="5"/>
    </row>
    <row r="189" spans="1:6" x14ac:dyDescent="0.25">
      <c r="A189" s="5"/>
      <c r="C189" s="5"/>
      <c r="D189" s="5"/>
      <c r="E189" s="5"/>
      <c r="F189" s="5"/>
    </row>
    <row r="190" spans="1:6" x14ac:dyDescent="0.25">
      <c r="A190" s="5"/>
      <c r="C190" s="5"/>
      <c r="D190" s="5"/>
      <c r="E190" s="5"/>
      <c r="F190" s="5"/>
    </row>
    <row r="191" spans="1:6" x14ac:dyDescent="0.25">
      <c r="A191" s="5"/>
      <c r="C191" s="5"/>
      <c r="D191" s="5"/>
      <c r="E191" s="5"/>
      <c r="F191" s="5"/>
    </row>
    <row r="192" spans="1:6" x14ac:dyDescent="0.25">
      <c r="A192" s="5"/>
      <c r="C192" s="5"/>
      <c r="D192" s="5"/>
      <c r="E192" s="5"/>
      <c r="F192" s="5"/>
    </row>
    <row r="193" spans="1:6" x14ac:dyDescent="0.25">
      <c r="A193" s="5"/>
      <c r="C193" s="5"/>
      <c r="D193" s="5"/>
      <c r="E193" s="5"/>
      <c r="F193" s="5"/>
    </row>
    <row r="194" spans="1:6" x14ac:dyDescent="0.25">
      <c r="A194" s="5"/>
      <c r="C194" s="5"/>
      <c r="D194" s="5"/>
      <c r="E194" s="5"/>
      <c r="F194" s="5"/>
    </row>
    <row r="195" spans="1:6" x14ac:dyDescent="0.25">
      <c r="A195" s="5"/>
      <c r="C195" s="5"/>
      <c r="D195" s="5"/>
      <c r="E195" s="5"/>
      <c r="F195" s="5"/>
    </row>
    <row r="196" spans="1:6" x14ac:dyDescent="0.25">
      <c r="A196" s="5"/>
      <c r="C196" s="5"/>
      <c r="D196" s="5"/>
      <c r="E196" s="5"/>
      <c r="F196" s="5"/>
    </row>
    <row r="197" spans="1:6" x14ac:dyDescent="0.25">
      <c r="A197" s="5"/>
      <c r="C197" s="5"/>
      <c r="D197" s="5"/>
      <c r="E197" s="5"/>
      <c r="F197" s="5"/>
    </row>
    <row r="198" spans="1:6" x14ac:dyDescent="0.25">
      <c r="A198" s="5"/>
      <c r="C198" s="5"/>
      <c r="D198" s="5"/>
      <c r="E198" s="5"/>
      <c r="F198" s="5"/>
    </row>
    <row r="199" spans="1:6" x14ac:dyDescent="0.25">
      <c r="A199" s="5"/>
      <c r="C199" s="5"/>
      <c r="D199" s="5"/>
      <c r="E199" s="5"/>
      <c r="F199" s="5"/>
    </row>
    <row r="200" spans="1:6" x14ac:dyDescent="0.25">
      <c r="A200" s="5"/>
      <c r="C200" s="5"/>
      <c r="D200" s="5"/>
      <c r="E200" s="5"/>
      <c r="F200" s="5"/>
    </row>
    <row r="201" spans="1:6" x14ac:dyDescent="0.25">
      <c r="A201" s="5"/>
      <c r="C201" s="5"/>
      <c r="D201" s="5"/>
      <c r="E201" s="5"/>
      <c r="F201" s="5"/>
    </row>
    <row r="202" spans="1:6" x14ac:dyDescent="0.25">
      <c r="A202" s="5"/>
      <c r="C202" s="5"/>
      <c r="D202" s="5"/>
      <c r="E202" s="5"/>
      <c r="F202" s="5"/>
    </row>
    <row r="203" spans="1:6" x14ac:dyDescent="0.25">
      <c r="A203" s="5"/>
      <c r="C203" s="5"/>
      <c r="D203" s="5"/>
      <c r="E203" s="5"/>
      <c r="F203" s="5"/>
    </row>
    <row r="204" spans="1:6" x14ac:dyDescent="0.25">
      <c r="A204" s="5"/>
      <c r="C204" s="5"/>
      <c r="D204" s="5"/>
      <c r="E204" s="5"/>
      <c r="F204" s="5"/>
    </row>
    <row r="205" spans="1:6" x14ac:dyDescent="0.25">
      <c r="A205" s="5"/>
      <c r="C205" s="5"/>
      <c r="D205" s="5"/>
      <c r="E205" s="5"/>
      <c r="F205" s="5"/>
    </row>
    <row r="206" spans="1:6" x14ac:dyDescent="0.25">
      <c r="A206" s="5"/>
      <c r="C206" s="5"/>
      <c r="D206" s="5"/>
      <c r="E206" s="5"/>
      <c r="F206" s="5"/>
    </row>
    <row r="207" spans="1:6" x14ac:dyDescent="0.25">
      <c r="A207" s="5"/>
      <c r="C207" s="5"/>
      <c r="D207" s="5"/>
      <c r="E207" s="5"/>
      <c r="F207" s="5"/>
    </row>
    <row r="208" spans="1:6" x14ac:dyDescent="0.25">
      <c r="A208" s="5"/>
      <c r="C208" s="5"/>
      <c r="D208" s="5"/>
      <c r="E208" s="5"/>
      <c r="F208" s="5"/>
    </row>
    <row r="209" spans="1:6" x14ac:dyDescent="0.25">
      <c r="A209" s="5"/>
      <c r="C209" s="5"/>
      <c r="D209" s="5"/>
      <c r="E209" s="5"/>
      <c r="F209" s="5"/>
    </row>
    <row r="210" spans="1:6" x14ac:dyDescent="0.25">
      <c r="A210" s="5"/>
      <c r="C210" s="5"/>
      <c r="D210" s="5"/>
      <c r="E210" s="5"/>
      <c r="F210" s="5"/>
    </row>
    <row r="211" spans="1:6" x14ac:dyDescent="0.25">
      <c r="A211" s="5"/>
      <c r="C211" s="5"/>
      <c r="D211" s="5"/>
      <c r="E211" s="5"/>
      <c r="F211" s="5"/>
    </row>
    <row r="212" spans="1:6" x14ac:dyDescent="0.25">
      <c r="A212" s="5"/>
      <c r="C212" s="5"/>
      <c r="D212" s="5"/>
      <c r="E212" s="5"/>
      <c r="F212" s="5"/>
    </row>
    <row r="213" spans="1:6" x14ac:dyDescent="0.25">
      <c r="A213" s="5"/>
      <c r="C213" s="5"/>
      <c r="D213" s="5"/>
      <c r="E213" s="5"/>
      <c r="F213" s="5"/>
    </row>
    <row r="214" spans="1:6" x14ac:dyDescent="0.25">
      <c r="A214" s="5"/>
      <c r="C214" s="5"/>
      <c r="D214" s="5"/>
      <c r="E214" s="5"/>
      <c r="F214" s="5"/>
    </row>
    <row r="215" spans="1:6" x14ac:dyDescent="0.25">
      <c r="A215" s="5"/>
      <c r="C215" s="5"/>
      <c r="D215" s="5"/>
      <c r="E215" s="5"/>
      <c r="F215" s="5"/>
    </row>
    <row r="216" spans="1:6" x14ac:dyDescent="0.25">
      <c r="A216" s="5"/>
      <c r="C216" s="5"/>
      <c r="D216" s="5"/>
      <c r="E216" s="5"/>
      <c r="F216" s="5"/>
    </row>
    <row r="217" spans="1:6" x14ac:dyDescent="0.25">
      <c r="A217" s="5"/>
      <c r="C217" s="5"/>
      <c r="D217" s="5"/>
      <c r="E217" s="5"/>
      <c r="F217" s="5"/>
    </row>
    <row r="218" spans="1:6" x14ac:dyDescent="0.25">
      <c r="A218" s="5"/>
      <c r="C218" s="5"/>
      <c r="D218" s="5"/>
      <c r="E218" s="5"/>
      <c r="F218" s="5"/>
    </row>
    <row r="219" spans="1:6" x14ac:dyDescent="0.25">
      <c r="A219" s="5"/>
      <c r="C219" s="5"/>
      <c r="D219" s="5"/>
      <c r="E219" s="5"/>
      <c r="F219" s="5"/>
    </row>
    <row r="220" spans="1:6" x14ac:dyDescent="0.25">
      <c r="A220" s="5"/>
      <c r="C220" s="5"/>
      <c r="D220" s="5"/>
      <c r="E220" s="5"/>
      <c r="F220" s="5"/>
    </row>
    <row r="221" spans="1:6" x14ac:dyDescent="0.25">
      <c r="A221" s="5"/>
      <c r="C221" s="5"/>
      <c r="D221" s="5"/>
      <c r="E221" s="5"/>
      <c r="F221" s="5"/>
    </row>
    <row r="222" spans="1:6" x14ac:dyDescent="0.25">
      <c r="A222" s="5"/>
      <c r="C222" s="5"/>
      <c r="D222" s="5"/>
      <c r="E222" s="5"/>
      <c r="F222" s="5"/>
    </row>
    <row r="223" spans="1:6" x14ac:dyDescent="0.25">
      <c r="A223" s="5"/>
      <c r="C223" s="5"/>
      <c r="D223" s="5"/>
      <c r="E223" s="5"/>
      <c r="F223" s="5"/>
    </row>
    <row r="224" spans="1:6" x14ac:dyDescent="0.25">
      <c r="A224" s="5"/>
      <c r="C224" s="5"/>
      <c r="D224" s="5"/>
      <c r="E224" s="5"/>
      <c r="F224" s="5"/>
    </row>
    <row r="225" spans="1:6" x14ac:dyDescent="0.25">
      <c r="A225" s="5"/>
      <c r="C225" s="5"/>
      <c r="D225" s="5"/>
      <c r="E225" s="5"/>
      <c r="F225" s="5"/>
    </row>
    <row r="226" spans="1:6" x14ac:dyDescent="0.25">
      <c r="A226" s="5"/>
      <c r="C226" s="5"/>
      <c r="D226" s="5"/>
      <c r="E226" s="5"/>
      <c r="F226" s="5"/>
    </row>
    <row r="227" spans="1:6" x14ac:dyDescent="0.25">
      <c r="A227" s="5"/>
      <c r="C227" s="5"/>
      <c r="D227" s="5"/>
      <c r="E227" s="5"/>
      <c r="F227" s="5"/>
    </row>
    <row r="228" spans="1:6" x14ac:dyDescent="0.25">
      <c r="A228" s="5"/>
      <c r="C228" s="5"/>
      <c r="D228" s="5"/>
      <c r="E228" s="5"/>
      <c r="F228" s="5"/>
    </row>
    <row r="229" spans="1:6" x14ac:dyDescent="0.25">
      <c r="A229" s="5"/>
      <c r="C229" s="5"/>
      <c r="D229" s="5"/>
      <c r="E229" s="5"/>
      <c r="F229" s="5"/>
    </row>
    <row r="230" spans="1:6" x14ac:dyDescent="0.25">
      <c r="A230" s="5"/>
      <c r="C230" s="5"/>
      <c r="D230" s="5"/>
      <c r="E230" s="5"/>
      <c r="F230" s="5"/>
    </row>
    <row r="231" spans="1:6" x14ac:dyDescent="0.25">
      <c r="A231" s="5"/>
      <c r="C231" s="5"/>
      <c r="D231" s="5"/>
      <c r="E231" s="5"/>
      <c r="F231" s="5"/>
    </row>
    <row r="232" spans="1:6" x14ac:dyDescent="0.25">
      <c r="A232" s="5"/>
      <c r="C232" s="5"/>
      <c r="D232" s="5"/>
      <c r="E232" s="5"/>
      <c r="F232" s="5"/>
    </row>
    <row r="233" spans="1:6" x14ac:dyDescent="0.25">
      <c r="A233" s="5"/>
      <c r="C233" s="5"/>
      <c r="D233" s="5"/>
      <c r="E233" s="5"/>
      <c r="F233" s="5"/>
    </row>
    <row r="234" spans="1:6" x14ac:dyDescent="0.25">
      <c r="A234" s="5"/>
      <c r="C234" s="5"/>
      <c r="D234" s="5"/>
      <c r="E234" s="5"/>
      <c r="F234" s="5"/>
    </row>
    <row r="235" spans="1:6" x14ac:dyDescent="0.25">
      <c r="A235" s="5"/>
      <c r="C235" s="5"/>
      <c r="D235" s="5"/>
      <c r="E235" s="5"/>
      <c r="F235" s="5"/>
    </row>
    <row r="236" spans="1:6" x14ac:dyDescent="0.25">
      <c r="A236" s="5"/>
      <c r="C236" s="5"/>
      <c r="D236" s="5"/>
      <c r="E236" s="5"/>
      <c r="F236" s="5"/>
    </row>
    <row r="237" spans="1:6" x14ac:dyDescent="0.25">
      <c r="A237" s="5"/>
      <c r="C237" s="5"/>
      <c r="D237" s="5"/>
      <c r="E237" s="5"/>
      <c r="F237" s="5"/>
    </row>
    <row r="238" spans="1:6" x14ac:dyDescent="0.25">
      <c r="A238" s="5"/>
      <c r="C238" s="5"/>
      <c r="D238" s="5"/>
      <c r="E238" s="5"/>
      <c r="F238" s="5"/>
    </row>
    <row r="239" spans="1:6" x14ac:dyDescent="0.25">
      <c r="A239" s="5"/>
      <c r="C239" s="5"/>
      <c r="D239" s="5"/>
      <c r="E239" s="5"/>
      <c r="F239" s="5"/>
    </row>
    <row r="240" spans="1:6" x14ac:dyDescent="0.25">
      <c r="A240" s="5"/>
      <c r="C240" s="5"/>
      <c r="D240" s="5"/>
      <c r="E240" s="5"/>
      <c r="F240" s="5"/>
    </row>
    <row r="241" spans="1:6" x14ac:dyDescent="0.25">
      <c r="A241" s="5"/>
      <c r="C241" s="5"/>
      <c r="D241" s="5"/>
      <c r="E241" s="5"/>
      <c r="F241" s="5"/>
    </row>
    <row r="242" spans="1:6" x14ac:dyDescent="0.25">
      <c r="A242" s="5"/>
      <c r="C242" s="5"/>
      <c r="D242" s="5"/>
      <c r="E242" s="5"/>
      <c r="F242" s="5"/>
    </row>
    <row r="243" spans="1:6" x14ac:dyDescent="0.25">
      <c r="A243" s="5"/>
      <c r="C243" s="5"/>
      <c r="D243" s="5"/>
      <c r="E243" s="5"/>
      <c r="F243" s="5"/>
    </row>
    <row r="244" spans="1:6" x14ac:dyDescent="0.25">
      <c r="A244" s="5"/>
      <c r="C244" s="5"/>
      <c r="D244" s="5"/>
      <c r="E244" s="5"/>
      <c r="F244" s="5"/>
    </row>
    <row r="245" spans="1:6" x14ac:dyDescent="0.25">
      <c r="A245" s="5"/>
      <c r="C245" s="5"/>
      <c r="D245" s="5"/>
      <c r="E245" s="5"/>
      <c r="F245" s="5"/>
    </row>
    <row r="246" spans="1:6" x14ac:dyDescent="0.25">
      <c r="A246" s="5"/>
      <c r="C246" s="5"/>
      <c r="D246" s="5"/>
      <c r="E246" s="5"/>
      <c r="F246" s="5"/>
    </row>
    <row r="247" spans="1:6" x14ac:dyDescent="0.25">
      <c r="A247" s="5"/>
      <c r="C247" s="5"/>
      <c r="D247" s="5"/>
      <c r="E247" s="5"/>
      <c r="F247" s="5"/>
    </row>
    <row r="248" spans="1:6" x14ac:dyDescent="0.25">
      <c r="A248" s="5"/>
      <c r="C248" s="5"/>
      <c r="D248" s="5"/>
      <c r="E248" s="5"/>
      <c r="F248" s="5"/>
    </row>
    <row r="249" spans="1:6" x14ac:dyDescent="0.25">
      <c r="A249" s="5"/>
      <c r="C249" s="5"/>
      <c r="D249" s="5"/>
      <c r="E249" s="5"/>
      <c r="F249" s="5"/>
    </row>
    <row r="250" spans="1:6" x14ac:dyDescent="0.25">
      <c r="A250" s="5"/>
      <c r="C250" s="5"/>
      <c r="D250" s="5"/>
      <c r="E250" s="5"/>
      <c r="F250" s="5"/>
    </row>
    <row r="251" spans="1:6" x14ac:dyDescent="0.25">
      <c r="A251" s="5"/>
      <c r="C251" s="5"/>
      <c r="D251" s="5"/>
      <c r="E251" s="5"/>
      <c r="F251" s="5"/>
    </row>
    <row r="252" spans="1:6" x14ac:dyDescent="0.25">
      <c r="A252" s="5"/>
      <c r="C252" s="5"/>
      <c r="D252" s="5"/>
      <c r="E252" s="5"/>
      <c r="F252" s="5"/>
    </row>
    <row r="253" spans="1:6" x14ac:dyDescent="0.25">
      <c r="A253" s="5"/>
      <c r="C253" s="5"/>
      <c r="D253" s="5"/>
      <c r="E253" s="5"/>
      <c r="F253" s="5"/>
    </row>
    <row r="254" spans="1:6" x14ac:dyDescent="0.25">
      <c r="A254" s="5"/>
      <c r="C254" s="5"/>
      <c r="D254" s="5"/>
      <c r="E254" s="5"/>
      <c r="F254" s="5"/>
    </row>
    <row r="255" spans="1:6" x14ac:dyDescent="0.25">
      <c r="A255" s="5"/>
      <c r="C255" s="5"/>
      <c r="D255" s="5"/>
      <c r="E255" s="5"/>
      <c r="F255" s="5"/>
    </row>
    <row r="256" spans="1:6" x14ac:dyDescent="0.25">
      <c r="A256" s="5"/>
      <c r="C256" s="5"/>
      <c r="D256" s="5"/>
      <c r="E256" s="5"/>
      <c r="F256" s="5"/>
    </row>
    <row r="257" spans="1:6" x14ac:dyDescent="0.25">
      <c r="A257" s="5"/>
      <c r="C257" s="5"/>
      <c r="D257" s="5"/>
      <c r="E257" s="5"/>
      <c r="F257" s="5"/>
    </row>
    <row r="258" spans="1:6" x14ac:dyDescent="0.25">
      <c r="A258" s="5"/>
      <c r="C258" s="5"/>
      <c r="D258" s="5"/>
      <c r="E258" s="5"/>
      <c r="F258" s="5"/>
    </row>
    <row r="259" spans="1:6" x14ac:dyDescent="0.25">
      <c r="A259" s="5"/>
      <c r="C259" s="5"/>
      <c r="D259" s="5"/>
      <c r="E259" s="5"/>
      <c r="F259" s="5"/>
    </row>
    <row r="260" spans="1:6" x14ac:dyDescent="0.25">
      <c r="A260" s="5"/>
      <c r="C260" s="5"/>
      <c r="D260" s="5"/>
      <c r="E260" s="5"/>
      <c r="F260" s="5"/>
    </row>
    <row r="261" spans="1:6" x14ac:dyDescent="0.25">
      <c r="A261" s="5"/>
      <c r="C261" s="5"/>
      <c r="D261" s="5"/>
      <c r="E261" s="5"/>
      <c r="F261" s="5"/>
    </row>
    <row r="262" spans="1:6" x14ac:dyDescent="0.25">
      <c r="A262" s="5"/>
      <c r="C262" s="5"/>
      <c r="D262" s="5"/>
      <c r="E262" s="5"/>
      <c r="F262" s="5"/>
    </row>
    <row r="263" spans="1:6" x14ac:dyDescent="0.25">
      <c r="A263" s="5"/>
      <c r="C263" s="5"/>
      <c r="D263" s="5"/>
      <c r="E263" s="5"/>
      <c r="F263" s="5"/>
    </row>
    <row r="264" spans="1:6" x14ac:dyDescent="0.25">
      <c r="A264" s="5"/>
      <c r="C264" s="5"/>
      <c r="D264" s="5"/>
      <c r="E264" s="5"/>
      <c r="F264" s="5"/>
    </row>
    <row r="265" spans="1:6" x14ac:dyDescent="0.25">
      <c r="A265" s="5"/>
      <c r="C265" s="5"/>
      <c r="D265" s="5"/>
      <c r="E265" s="5"/>
      <c r="F265" s="5"/>
    </row>
    <row r="266" spans="1:6" x14ac:dyDescent="0.25">
      <c r="A266" s="5"/>
      <c r="C266" s="5"/>
      <c r="D266" s="5"/>
      <c r="E266" s="5"/>
      <c r="F266" s="5"/>
    </row>
    <row r="267" spans="1:6" x14ac:dyDescent="0.25">
      <c r="A267" s="5"/>
      <c r="C267" s="5"/>
      <c r="D267" s="5"/>
      <c r="E267" s="5"/>
      <c r="F267" s="5"/>
    </row>
    <row r="268" spans="1:6" x14ac:dyDescent="0.25">
      <c r="A268" s="5"/>
      <c r="C268" s="5"/>
      <c r="D268" s="5"/>
      <c r="E268" s="5"/>
      <c r="F268" s="5"/>
    </row>
    <row r="269" spans="1:6" x14ac:dyDescent="0.25">
      <c r="A269" s="5"/>
      <c r="C269" s="5"/>
      <c r="D269" s="5"/>
      <c r="E269" s="5"/>
      <c r="F269" s="5"/>
    </row>
    <row r="270" spans="1:6" x14ac:dyDescent="0.25">
      <c r="A270" s="5"/>
      <c r="C270" s="5"/>
      <c r="D270" s="5"/>
      <c r="E270" s="5"/>
      <c r="F270" s="5"/>
    </row>
    <row r="271" spans="1:6" x14ac:dyDescent="0.25">
      <c r="A271" s="5"/>
      <c r="C271" s="5"/>
      <c r="D271" s="5"/>
      <c r="E271" s="5"/>
      <c r="F271" s="5"/>
    </row>
    <row r="272" spans="1:6" x14ac:dyDescent="0.25">
      <c r="A272" s="5"/>
      <c r="C272" s="5"/>
      <c r="D272" s="5"/>
      <c r="E272" s="5"/>
      <c r="F272" s="5"/>
    </row>
    <row r="273" spans="1:6" x14ac:dyDescent="0.25">
      <c r="A273" s="5"/>
      <c r="C273" s="5"/>
      <c r="D273" s="5"/>
      <c r="E273" s="5"/>
      <c r="F273" s="5"/>
    </row>
    <row r="274" spans="1:6" x14ac:dyDescent="0.25">
      <c r="A274" s="5"/>
      <c r="C274" s="5"/>
      <c r="D274" s="5"/>
      <c r="E274" s="5"/>
      <c r="F274" s="5"/>
    </row>
    <row r="275" spans="1:6" x14ac:dyDescent="0.25">
      <c r="A275" s="5"/>
      <c r="C275" s="5"/>
      <c r="D275" s="5"/>
      <c r="E275" s="5"/>
      <c r="F275" s="5"/>
    </row>
    <row r="276" spans="1:6" x14ac:dyDescent="0.25">
      <c r="A276" s="5"/>
      <c r="C276" s="5"/>
      <c r="D276" s="5"/>
      <c r="E276" s="5"/>
      <c r="F276" s="5"/>
    </row>
    <row r="277" spans="1:6" x14ac:dyDescent="0.25">
      <c r="A277" s="5"/>
      <c r="C277" s="5"/>
      <c r="D277" s="5"/>
      <c r="E277" s="5"/>
      <c r="F277" s="5"/>
    </row>
    <row r="278" spans="1:6" x14ac:dyDescent="0.25">
      <c r="A278" s="5"/>
      <c r="C278" s="5"/>
      <c r="D278" s="5"/>
      <c r="E278" s="5"/>
      <c r="F278" s="5"/>
    </row>
    <row r="279" spans="1:6" x14ac:dyDescent="0.25">
      <c r="A279" s="5"/>
      <c r="C279" s="5"/>
      <c r="D279" s="5"/>
      <c r="E279" s="5"/>
      <c r="F279" s="5"/>
    </row>
    <row r="280" spans="1:6" x14ac:dyDescent="0.25">
      <c r="A280" s="5"/>
      <c r="C280" s="5"/>
      <c r="D280" s="5"/>
      <c r="E280" s="5"/>
      <c r="F280" s="5"/>
    </row>
    <row r="281" spans="1:6" x14ac:dyDescent="0.25">
      <c r="A281" s="5"/>
      <c r="C281" s="5"/>
      <c r="D281" s="5"/>
      <c r="E281" s="5"/>
      <c r="F281" s="5"/>
    </row>
    <row r="282" spans="1:6" x14ac:dyDescent="0.25">
      <c r="A282" s="5"/>
      <c r="C282" s="5"/>
      <c r="D282" s="5"/>
      <c r="E282" s="5"/>
      <c r="F282" s="5"/>
    </row>
    <row r="283" spans="1:6" x14ac:dyDescent="0.25">
      <c r="A283" s="5"/>
      <c r="C283" s="5"/>
      <c r="D283" s="5"/>
      <c r="E283" s="5"/>
      <c r="F283" s="5"/>
    </row>
    <row r="284" spans="1:6" x14ac:dyDescent="0.25">
      <c r="A284" s="5"/>
      <c r="C284" s="5"/>
      <c r="D284" s="5"/>
      <c r="E284" s="5"/>
      <c r="F284" s="5"/>
    </row>
    <row r="285" spans="1:6" x14ac:dyDescent="0.25">
      <c r="A285" s="5"/>
      <c r="C285" s="5"/>
      <c r="D285" s="5"/>
      <c r="E285" s="5"/>
      <c r="F285" s="5"/>
    </row>
    <row r="286" spans="1:6" x14ac:dyDescent="0.25">
      <c r="A286" s="5"/>
      <c r="C286" s="5"/>
      <c r="D286" s="5"/>
      <c r="E286" s="5"/>
      <c r="F286" s="5"/>
    </row>
    <row r="287" spans="1:6" x14ac:dyDescent="0.25">
      <c r="A287" s="5"/>
      <c r="C287" s="5"/>
      <c r="D287" s="5"/>
      <c r="E287" s="5"/>
      <c r="F287" s="5"/>
    </row>
    <row r="288" spans="1:6" x14ac:dyDescent="0.25">
      <c r="A288" s="5"/>
      <c r="C288" s="5"/>
      <c r="D288" s="5"/>
      <c r="E288" s="5"/>
      <c r="F288" s="5"/>
    </row>
    <row r="289" spans="1:6" x14ac:dyDescent="0.25">
      <c r="A289" s="5"/>
      <c r="C289" s="5"/>
      <c r="D289" s="5"/>
      <c r="E289" s="5"/>
      <c r="F289" s="5"/>
    </row>
    <row r="290" spans="1:6" x14ac:dyDescent="0.25">
      <c r="A290" s="5"/>
      <c r="C290" s="5"/>
      <c r="D290" s="5"/>
      <c r="E290" s="5"/>
      <c r="F290" s="5"/>
    </row>
    <row r="291" spans="1:6" x14ac:dyDescent="0.25">
      <c r="A291" s="5"/>
      <c r="C291" s="5"/>
      <c r="D291" s="5"/>
      <c r="E291" s="5"/>
      <c r="F291" s="5"/>
    </row>
    <row r="292" spans="1:6" x14ac:dyDescent="0.25">
      <c r="A292" s="5"/>
      <c r="C292" s="5"/>
      <c r="D292" s="5"/>
      <c r="E292" s="5"/>
      <c r="F292" s="5"/>
    </row>
    <row r="293" spans="1:6" x14ac:dyDescent="0.25">
      <c r="A293" s="5"/>
      <c r="C293" s="5"/>
      <c r="D293" s="5"/>
      <c r="E293" s="5"/>
      <c r="F293" s="5"/>
    </row>
    <row r="294" spans="1:6" x14ac:dyDescent="0.25">
      <c r="A294" s="5"/>
      <c r="C294" s="5"/>
      <c r="D294" s="5"/>
      <c r="E294" s="5"/>
      <c r="F294" s="5"/>
    </row>
    <row r="295" spans="1:6" x14ac:dyDescent="0.25">
      <c r="A295" s="5"/>
      <c r="C295" s="5"/>
      <c r="D295" s="5"/>
      <c r="E295" s="5"/>
      <c r="F295" s="5"/>
    </row>
    <row r="296" spans="1:6" x14ac:dyDescent="0.25">
      <c r="A296" s="5"/>
      <c r="C296" s="5"/>
      <c r="D296" s="5"/>
      <c r="E296" s="5"/>
      <c r="F296" s="5"/>
    </row>
    <row r="297" spans="1:6" x14ac:dyDescent="0.25">
      <c r="A297" s="5"/>
      <c r="C297" s="5"/>
      <c r="D297" s="5"/>
      <c r="E297" s="5"/>
      <c r="F297" s="5"/>
    </row>
    <row r="298" spans="1:6" x14ac:dyDescent="0.25">
      <c r="A298" s="5"/>
      <c r="C298" s="5"/>
      <c r="D298" s="5"/>
      <c r="E298" s="5"/>
      <c r="F298" s="5"/>
    </row>
    <row r="299" spans="1:6" x14ac:dyDescent="0.25">
      <c r="A299" s="5"/>
    </row>
    <row r="300" spans="1:6" x14ac:dyDescent="0.25">
      <c r="A300" s="5"/>
    </row>
    <row r="301" spans="1:6" x14ac:dyDescent="0.25">
      <c r="A301" s="5"/>
    </row>
    <row r="302" spans="1:6" x14ac:dyDescent="0.25">
      <c r="A302" s="5"/>
    </row>
    <row r="303" spans="1:6" x14ac:dyDescent="0.25">
      <c r="A303" s="5"/>
    </row>
    <row r="304" spans="1:6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3"/>
  <sheetViews>
    <sheetView topLeftCell="A19" workbookViewId="0">
      <selection activeCell="K11" sqref="K11"/>
    </sheetView>
  </sheetViews>
  <sheetFormatPr defaultRowHeight="15" x14ac:dyDescent="0.25"/>
  <cols>
    <col min="2" max="2" width="27.85546875" customWidth="1"/>
    <col min="3" max="5" width="9.140625" style="5"/>
  </cols>
  <sheetData>
    <row r="2" spans="1:6" x14ac:dyDescent="0.25">
      <c r="B2" t="s">
        <v>91</v>
      </c>
    </row>
    <row r="3" spans="1:6" x14ac:dyDescent="0.25">
      <c r="B3" t="s">
        <v>92</v>
      </c>
    </row>
    <row r="5" spans="1:6" x14ac:dyDescent="0.25">
      <c r="A5" s="18" t="s">
        <v>39</v>
      </c>
      <c r="B5" s="18" t="s">
        <v>59</v>
      </c>
      <c r="C5" s="4">
        <v>1876</v>
      </c>
      <c r="D5" s="4">
        <v>90</v>
      </c>
      <c r="E5" s="4">
        <v>20</v>
      </c>
      <c r="F5" s="6">
        <v>10</v>
      </c>
    </row>
    <row r="6" spans="1:6" x14ac:dyDescent="0.25">
      <c r="A6" s="18" t="s">
        <v>39</v>
      </c>
      <c r="B6" s="18" t="s">
        <v>57</v>
      </c>
      <c r="C6" s="4">
        <v>1860</v>
      </c>
      <c r="D6" s="4">
        <v>90</v>
      </c>
      <c r="E6" s="4">
        <v>20</v>
      </c>
      <c r="F6" s="6">
        <v>7</v>
      </c>
    </row>
    <row r="7" spans="1:6" x14ac:dyDescent="0.25">
      <c r="A7" s="18" t="s">
        <v>39</v>
      </c>
      <c r="B7" s="18" t="s">
        <v>60</v>
      </c>
      <c r="C7" s="4">
        <v>1498</v>
      </c>
      <c r="D7" s="4">
        <v>90</v>
      </c>
      <c r="E7" s="4">
        <v>20</v>
      </c>
      <c r="F7" s="6">
        <v>1</v>
      </c>
    </row>
    <row r="8" spans="1:6" x14ac:dyDescent="0.25">
      <c r="A8" s="18" t="s">
        <v>39</v>
      </c>
      <c r="B8" s="18" t="s">
        <v>58</v>
      </c>
      <c r="C8" s="4">
        <v>1321</v>
      </c>
      <c r="D8" s="4">
        <v>90</v>
      </c>
      <c r="E8" s="4">
        <v>20</v>
      </c>
      <c r="F8" s="6">
        <v>7</v>
      </c>
    </row>
    <row r="12" spans="1:6" x14ac:dyDescent="0.25">
      <c r="A12" s="5">
        <v>1</v>
      </c>
      <c r="B12" s="23" t="s">
        <v>102</v>
      </c>
      <c r="C12" s="5">
        <v>3000</v>
      </c>
      <c r="D12" s="5">
        <v>3</v>
      </c>
    </row>
    <row r="13" spans="1:6" x14ac:dyDescent="0.25">
      <c r="A13" s="5"/>
      <c r="B13" s="23" t="s">
        <v>58</v>
      </c>
      <c r="C13" s="5">
        <v>1321</v>
      </c>
      <c r="D13" s="5">
        <v>3</v>
      </c>
    </row>
    <row r="14" spans="1:6" x14ac:dyDescent="0.25">
      <c r="A14" s="5"/>
      <c r="B14" t="s">
        <v>58</v>
      </c>
      <c r="C14" s="5">
        <v>1321</v>
      </c>
      <c r="D14" s="5">
        <v>3</v>
      </c>
    </row>
    <row r="15" spans="1:6" x14ac:dyDescent="0.25">
      <c r="A15" s="5"/>
      <c r="B15" t="s">
        <v>103</v>
      </c>
      <c r="C15" s="5">
        <f>SUM(C12*-1,C13:C14)</f>
        <v>-358</v>
      </c>
    </row>
    <row r="16" spans="1:6" x14ac:dyDescent="0.25">
      <c r="A16" s="5"/>
    </row>
    <row r="17" spans="1:4" x14ac:dyDescent="0.25">
      <c r="A17" s="5">
        <v>2</v>
      </c>
      <c r="B17" s="23" t="s">
        <v>102</v>
      </c>
      <c r="C17" s="5">
        <v>3000</v>
      </c>
      <c r="D17" s="5">
        <v>1</v>
      </c>
    </row>
    <row r="18" spans="1:4" x14ac:dyDescent="0.25">
      <c r="A18" s="5"/>
      <c r="B18" t="s">
        <v>58</v>
      </c>
      <c r="C18" s="5">
        <v>1321</v>
      </c>
      <c r="D18" s="5">
        <v>1</v>
      </c>
    </row>
    <row r="19" spans="1:4" x14ac:dyDescent="0.25">
      <c r="A19" s="5"/>
      <c r="B19" t="s">
        <v>60</v>
      </c>
      <c r="C19" s="5">
        <v>1498</v>
      </c>
      <c r="D19" s="5">
        <v>1</v>
      </c>
    </row>
    <row r="20" spans="1:4" x14ac:dyDescent="0.25">
      <c r="A20" s="5"/>
      <c r="B20" t="s">
        <v>103</v>
      </c>
      <c r="C20" s="5">
        <f>SUM(C17*-1,C18:C19)</f>
        <v>-181</v>
      </c>
    </row>
    <row r="21" spans="1:4" x14ac:dyDescent="0.25">
      <c r="A21" s="5"/>
    </row>
    <row r="22" spans="1:4" x14ac:dyDescent="0.25">
      <c r="A22" s="5">
        <v>3</v>
      </c>
      <c r="B22" s="23" t="s">
        <v>102</v>
      </c>
      <c r="C22" s="5">
        <v>2000</v>
      </c>
      <c r="D22" s="5">
        <v>10</v>
      </c>
    </row>
    <row r="23" spans="1:4" x14ac:dyDescent="0.25">
      <c r="A23" s="5"/>
      <c r="B23" s="18" t="s">
        <v>59</v>
      </c>
      <c r="C23" s="5">
        <v>1876</v>
      </c>
      <c r="D23" s="5">
        <v>10</v>
      </c>
    </row>
    <row r="24" spans="1:4" x14ac:dyDescent="0.25">
      <c r="A24" s="5"/>
      <c r="B24" t="s">
        <v>103</v>
      </c>
      <c r="C24" s="5">
        <f>SUM(C22*-1,C23)</f>
        <v>-124</v>
      </c>
    </row>
    <row r="25" spans="1:4" x14ac:dyDescent="0.25">
      <c r="A25" s="5"/>
    </row>
    <row r="26" spans="1:4" x14ac:dyDescent="0.25">
      <c r="A26" s="5">
        <v>4</v>
      </c>
      <c r="B26" s="23" t="s">
        <v>102</v>
      </c>
      <c r="C26" s="5">
        <v>2000</v>
      </c>
      <c r="D26" s="5">
        <v>7</v>
      </c>
    </row>
    <row r="27" spans="1:4" x14ac:dyDescent="0.25">
      <c r="A27" s="5"/>
      <c r="B27" t="s">
        <v>57</v>
      </c>
      <c r="C27" s="5">
        <v>1860</v>
      </c>
      <c r="D27" s="5">
        <v>7</v>
      </c>
    </row>
    <row r="28" spans="1:4" x14ac:dyDescent="0.25">
      <c r="A28" s="5"/>
      <c r="B28" t="s">
        <v>103</v>
      </c>
      <c r="C28" s="5">
        <f>SUM(C26*-1,C27)</f>
        <v>-140</v>
      </c>
    </row>
    <row r="29" spans="1:4" x14ac:dyDescent="0.25">
      <c r="A29" s="5"/>
    </row>
    <row r="30" spans="1:4" x14ac:dyDescent="0.25">
      <c r="A30" s="5"/>
    </row>
    <row r="31" spans="1:4" x14ac:dyDescent="0.25">
      <c r="A31" s="5"/>
    </row>
    <row r="32" spans="1:4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2020-02-07T10:02:37Z</dcterms:modified>
</cp:coreProperties>
</file>