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ЭтаКнига" defaultThemeVersion="124226"/>
  <bookViews>
    <workbookView xWindow="240" yWindow="105" windowWidth="14805" windowHeight="8010" activeTab="7"/>
  </bookViews>
  <sheets>
    <sheet name="Лист1" sheetId="1" r:id="rId1"/>
    <sheet name="Лист2" sheetId="2" r:id="rId2"/>
    <sheet name="Лист3" sheetId="3" r:id="rId3"/>
    <sheet name="Лист4" sheetId="4" r:id="rId4"/>
    <sheet name="Лист5" sheetId="5" r:id="rId5"/>
    <sheet name="Лист6" sheetId="6" r:id="rId6"/>
    <sheet name="Лист7" sheetId="7" r:id="rId7"/>
    <sheet name="Лист8" sheetId="8" r:id="rId8"/>
  </sheets>
  <definedNames>
    <definedName name="_2020_01_27_1" localSheetId="4">Лист5!$B$39:$H$87</definedName>
    <definedName name="_2020_02_03" localSheetId="4">Лист5!$B$4:$H$47</definedName>
  </definedNames>
  <calcPr calcId="144525"/>
</workbook>
</file>

<file path=xl/calcChain.xml><?xml version="1.0" encoding="utf-8"?>
<calcChain xmlns="http://schemas.openxmlformats.org/spreadsheetml/2006/main">
  <c r="C39" i="8" l="1"/>
  <c r="C32" i="8"/>
  <c r="E2" i="7"/>
  <c r="E7" i="7"/>
  <c r="E4" i="7"/>
  <c r="E5" i="7"/>
  <c r="E3" i="7"/>
  <c r="P28" i="6"/>
  <c r="R4" i="6"/>
  <c r="G43" i="4" l="1"/>
  <c r="G38" i="4"/>
  <c r="G47" i="4" s="1"/>
  <c r="G33" i="4"/>
  <c r="E33" i="4"/>
  <c r="G24" i="4"/>
  <c r="G23" i="4"/>
  <c r="F20" i="4"/>
  <c r="G20" i="4" s="1"/>
  <c r="G5" i="4"/>
  <c r="G6" i="4"/>
  <c r="G7" i="4"/>
  <c r="G8" i="4"/>
  <c r="G9" i="4"/>
  <c r="G10" i="4"/>
  <c r="G11" i="4"/>
  <c r="G12" i="4"/>
  <c r="G13" i="4"/>
  <c r="F16" i="4" s="1"/>
  <c r="G16" i="4" s="1"/>
  <c r="F21" i="4" s="1"/>
  <c r="G21" i="4" s="1"/>
  <c r="G14" i="4"/>
  <c r="F17" i="4" s="1"/>
  <c r="G17" i="4" s="1"/>
  <c r="G15" i="4"/>
  <c r="F18" i="4" s="1"/>
  <c r="G18" i="4" s="1"/>
  <c r="G19" i="4"/>
  <c r="G4" i="4"/>
  <c r="L110" i="3"/>
  <c r="L104" i="3"/>
  <c r="L99" i="3"/>
  <c r="J99" i="3"/>
  <c r="L91" i="3"/>
  <c r="L84" i="3"/>
  <c r="L82" i="3"/>
  <c r="L83" i="3" s="1"/>
  <c r="J86" i="3"/>
  <c r="L86" i="3" s="1"/>
  <c r="L80" i="3"/>
  <c r="L81" i="3"/>
  <c r="L79" i="3"/>
  <c r="L61" i="3"/>
  <c r="L73" i="3"/>
  <c r="L72" i="3"/>
  <c r="J73" i="3"/>
  <c r="J72" i="3"/>
  <c r="K65" i="3"/>
  <c r="L65" i="3" s="1"/>
  <c r="K54" i="3"/>
  <c r="K56" i="3"/>
  <c r="K52" i="3"/>
  <c r="L52" i="3" s="1"/>
  <c r="K63" i="3" s="1"/>
  <c r="L63" i="3" s="1"/>
  <c r="K44" i="3"/>
  <c r="L44" i="3" s="1"/>
  <c r="K42" i="3"/>
  <c r="L42" i="3" s="1"/>
  <c r="L62" i="3"/>
  <c r="L60" i="3"/>
  <c r="L59" i="3"/>
  <c r="L58" i="3"/>
  <c r="K69" i="3" s="1"/>
  <c r="L69" i="3" s="1"/>
  <c r="L56" i="3"/>
  <c r="K67" i="3" s="1"/>
  <c r="L67" i="3" s="1"/>
  <c r="L54" i="3"/>
  <c r="L51" i="3"/>
  <c r="K57" i="3" s="1"/>
  <c r="L57" i="3" s="1"/>
  <c r="K68" i="3" s="1"/>
  <c r="L68" i="3" s="1"/>
  <c r="L50" i="3"/>
  <c r="L49" i="3"/>
  <c r="K55" i="3" s="1"/>
  <c r="L55" i="3" s="1"/>
  <c r="K66" i="3" s="1"/>
  <c r="L66" i="3" s="1"/>
  <c r="L48" i="3"/>
  <c r="L47" i="3"/>
  <c r="K53" i="3" s="1"/>
  <c r="L53" i="3" s="1"/>
  <c r="K64" i="3" s="1"/>
  <c r="L64" i="3" s="1"/>
  <c r="L46" i="3"/>
  <c r="L41" i="3"/>
  <c r="K45" i="3" s="1"/>
  <c r="L45" i="3" s="1"/>
  <c r="L40" i="3"/>
  <c r="L39" i="3"/>
  <c r="K43" i="3" s="1"/>
  <c r="L43" i="3" s="1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1" i="3"/>
  <c r="L12" i="3"/>
  <c r="L10" i="3"/>
  <c r="L9" i="3"/>
  <c r="L8" i="3"/>
  <c r="L7" i="3"/>
  <c r="L6" i="3"/>
  <c r="L5" i="3"/>
  <c r="L4" i="3"/>
  <c r="L3" i="3"/>
  <c r="E23" i="3"/>
  <c r="E24" i="3"/>
  <c r="E26" i="3"/>
  <c r="E13" i="3"/>
  <c r="E15" i="3"/>
  <c r="E6" i="3"/>
  <c r="E11" i="3"/>
  <c r="E16" i="3"/>
  <c r="E17" i="3"/>
  <c r="E18" i="3"/>
  <c r="E25" i="3"/>
  <c r="E27" i="3"/>
  <c r="E28" i="3"/>
  <c r="E19" i="3"/>
  <c r="E21" i="3"/>
  <c r="E22" i="3"/>
  <c r="E3" i="3"/>
  <c r="E4" i="3"/>
  <c r="E5" i="3"/>
  <c r="E7" i="3"/>
  <c r="E8" i="3"/>
  <c r="E9" i="3"/>
  <c r="E10" i="3"/>
  <c r="E12" i="3"/>
  <c r="E14" i="3"/>
  <c r="E20" i="3"/>
  <c r="B50" i="1"/>
  <c r="B31" i="1"/>
  <c r="B26" i="1"/>
  <c r="B66" i="1" s="1"/>
  <c r="B16" i="1"/>
  <c r="B8" i="1"/>
  <c r="L74" i="3" l="1"/>
  <c r="L119" i="3" s="1"/>
  <c r="D66" i="1"/>
  <c r="D57" i="1"/>
  <c r="D49" i="1"/>
  <c r="D48" i="1"/>
  <c r="D30" i="1"/>
  <c r="D29" i="1"/>
  <c r="D24" i="1"/>
  <c r="D25" i="1"/>
  <c r="D23" i="1"/>
  <c r="D15" i="1"/>
  <c r="D14" i="1"/>
  <c r="D13" i="1"/>
  <c r="D4" i="1"/>
  <c r="D5" i="1"/>
  <c r="D6" i="1"/>
  <c r="D7" i="1"/>
  <c r="D3" i="1"/>
</calcChain>
</file>

<file path=xl/connections.xml><?xml version="1.0" encoding="utf-8"?>
<connections xmlns="http://schemas.openxmlformats.org/spreadsheetml/2006/main">
  <connection id="1" name="2020-01-271" type="6" refreshedVersion="5" background="1" saveData="1">
    <textPr codePage="65001" sourceFile="D:\Work\3d\Баня\img\2020-01-27.csv" decimal="," thousands=" " space="1" comma="1" consecutive="1">
      <textFields count="7">
        <textField/>
        <textField/>
        <textField/>
        <textField/>
        <textField/>
        <textField/>
        <textField/>
      </textFields>
    </textPr>
  </connection>
  <connection id="2" name="2020-02-03" type="6" refreshedVersion="5" background="1" saveData="1">
    <textPr codePage="65001" sourceFile="D:\Work\3d\Баня\img\2020-02-03.csv" decimal="," thousands=" " space="1" comma="1" consecutive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<sst xmlns="http://schemas.openxmlformats.org/spreadsheetml/2006/main" count="461" uniqueCount="107">
  <si>
    <t>Каркас</t>
  </si>
  <si>
    <t>Бросок 50х50</t>
  </si>
  <si>
    <t>раздевалка</t>
  </si>
  <si>
    <t>парная</t>
  </si>
  <si>
    <t>Обрезок</t>
  </si>
  <si>
    <t>Потолок</t>
  </si>
  <si>
    <t>пол</t>
  </si>
  <si>
    <t>Доска 96х20</t>
  </si>
  <si>
    <t>Седение</t>
  </si>
  <si>
    <t>Доска 146х20</t>
  </si>
  <si>
    <t>Наличник отделка</t>
  </si>
  <si>
    <t>Наличник 100х10</t>
  </si>
  <si>
    <t>Евровагонка С 4 пачки по 320</t>
  </si>
  <si>
    <t>Крыша</t>
  </si>
  <si>
    <t>Итого</t>
  </si>
  <si>
    <t>Внешнии стенки</t>
  </si>
  <si>
    <t>рейка 20х40</t>
  </si>
  <si>
    <t>Профлист</t>
  </si>
  <si>
    <t>Definition Name</t>
  </si>
  <si>
    <t>Layer</t>
  </si>
  <si>
    <t>Entity Name</t>
  </si>
  <si>
    <t>LenX</t>
  </si>
  <si>
    <t>LenY</t>
  </si>
  <si>
    <t>LenZ</t>
  </si>
  <si>
    <t>Quantity</t>
  </si>
  <si>
    <t>Брусок</t>
  </si>
  <si>
    <t>Каркас (8), Потолок (4)</t>
  </si>
  <si>
    <t>ВерхДляТрубы (2), ВерхЛево (2), ВерхПраво (2), ВерхЦентр (2), НизЛево (2), НизПраво (2)</t>
  </si>
  <si>
    <t>БрусокВертикальныйПодножка</t>
  </si>
  <si>
    <t>БрусокВертикльный</t>
  </si>
  <si>
    <t>БрусокВертикльныйСеденье</t>
  </si>
  <si>
    <t>БрусокВерх</t>
  </si>
  <si>
    <t>Каркас (2), Потолок</t>
  </si>
  <si>
    <t>ВерхТыл, ВерхФронт, ВерхЦентр</t>
  </si>
  <si>
    <t>БрусокВходНиз</t>
  </si>
  <si>
    <t>БрусокКрыша</t>
  </si>
  <si>
    <t>БрусокКрышаВертикльный</t>
  </si>
  <si>
    <t>БрусокКрышаЦентр</t>
  </si>
  <si>
    <t>БрусокПол</t>
  </si>
  <si>
    <t>Пол</t>
  </si>
  <si>
    <t>БрусокПолКороткий</t>
  </si>
  <si>
    <t>БрусокПолПрихожаяОпораЛавка</t>
  </si>
  <si>
    <t>БрусокПолСоединительный</t>
  </si>
  <si>
    <t>БрусокПрихожаяНиз</t>
  </si>
  <si>
    <t>БрусокПрихожка</t>
  </si>
  <si>
    <t>Каркас (4), Потолок, Седение</t>
  </si>
  <si>
    <t>БрусокПрихожка, ВерхЦентр, ЛевоВерх, ЛевоНиз, ПравоВерх, ПравоНиз</t>
  </si>
  <si>
    <t>БрусокПрихожкаПол</t>
  </si>
  <si>
    <t>БрусокСедениеПрихожка</t>
  </si>
  <si>
    <t>БрусокСеденье</t>
  </si>
  <si>
    <t>БрусокСеденьеПриВходе</t>
  </si>
  <si>
    <t>БрусокТылНиз</t>
  </si>
  <si>
    <t>БурокВертикльныйВход</t>
  </si>
  <si>
    <t>Вагонка</t>
  </si>
  <si>
    <t>Наличник</t>
  </si>
  <si>
    <t>ВнешняРейкаВертикальная</t>
  </si>
  <si>
    <t>ВнешнииСтенки</t>
  </si>
  <si>
    <t>ДоскаПолПарилка1</t>
  </si>
  <si>
    <t>ДоскаПолПарилка2</t>
  </si>
  <si>
    <t>ДоскаПолПрихожая</t>
  </si>
  <si>
    <t>ДоскаПолПрихожая1</t>
  </si>
  <si>
    <t>Кровля</t>
  </si>
  <si>
    <t>Подножка</t>
  </si>
  <si>
    <t>Двери</t>
  </si>
  <si>
    <t>РейкаВнешняяПрихожая</t>
  </si>
  <si>
    <t>РейкаВнешняяПрихожаяФронт</t>
  </si>
  <si>
    <t>ВерхЛево, ВерхПраво, ВерхТыл, ВерхФронт, ЛевоНиз, ПраваяНиз, РейкаВнешняяПрихожаяФронт (2), ТылНиз, ФронтНиз</t>
  </si>
  <si>
    <t>РейкаВход</t>
  </si>
  <si>
    <t>Лево, Правая</t>
  </si>
  <si>
    <t>СедениеПрихожка</t>
  </si>
  <si>
    <t>Наличник (3), Седение (4)</t>
  </si>
  <si>
    <t>БрусокПрихожаяВерх</t>
  </si>
  <si>
    <t>БрусокКрышаЦентрПрихожка</t>
  </si>
  <si>
    <t>РейкаКороткаяДверь</t>
  </si>
  <si>
    <t>РейкаДверь</t>
  </si>
  <si>
    <t>БрусокВертикальныйПодножкаПрихожаяСредний</t>
  </si>
  <si>
    <t>БрусокВертикальныйПодножкаСредняя</t>
  </si>
  <si>
    <t>БрусокВертикльныйСеденьеСредняя</t>
  </si>
  <si>
    <t>Тыл, Фронт</t>
  </si>
  <si>
    <t>ВагонкаОбрезВерх</t>
  </si>
  <si>
    <t>ВегонкаОбрезНиз</t>
  </si>
  <si>
    <t>ВнешнииСтенки (2), Двери (4)</t>
  </si>
  <si>
    <t>3000mm x 12 шт.</t>
  </si>
  <si>
    <t>2000mm x 36 шт.</t>
  </si>
  <si>
    <t>40х40х3000</t>
  </si>
  <si>
    <t>2000mm x 52 шт</t>
  </si>
  <si>
    <t>150х40х6000</t>
  </si>
  <si>
    <t>150х40х3000</t>
  </si>
  <si>
    <t>40х40х2000</t>
  </si>
  <si>
    <t>40х20х2000</t>
  </si>
  <si>
    <t>150х40х2000</t>
  </si>
  <si>
    <t>3000mm x 4 шт.</t>
  </si>
  <si>
    <t>2000mm x 17 шт.</t>
  </si>
  <si>
    <t>25х100х6000</t>
  </si>
  <si>
    <t>25х100х3000</t>
  </si>
  <si>
    <t>25х100х2000</t>
  </si>
  <si>
    <t>25х150х6000</t>
  </si>
  <si>
    <t>Доска</t>
  </si>
  <si>
    <t>Раскрой</t>
  </si>
  <si>
    <t>150х25х2000</t>
  </si>
  <si>
    <t>Цена</t>
  </si>
  <si>
    <t>Вагонка сорта С 2.0 м</t>
  </si>
  <si>
    <t>Заготовка</t>
  </si>
  <si>
    <t>Остаток</t>
  </si>
  <si>
    <t>БрусокВертикльныйКаркас</t>
  </si>
  <si>
    <t>БрусокВходНиз БрусокПрихожаяНиз</t>
  </si>
  <si>
    <t>Каркас Тыл, Фронт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</si>
</sst>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sz val="13"/>
      <color rgb="FF333333"/>
      <name val="Arial"/>
      <family val="2"/>
      <charset val="204"/>
    </font>
    <font>
      <sz val="11"/>
      <color theme="0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0" borderId="0" xfId="0" applyFont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2020-02-03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2020-01-27_1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L66"/>
  <sheetViews>
    <sheetView topLeftCell="A37" workbookViewId="0">
      <selection activeCell="E57" sqref="E57"/>
    </sheetView>
  </sheetViews>
  <sheetFormatPr defaultRowHeight="15" x14ac:dyDescent="0.25"/>
  <cols>
    <col min="1" max="1" width="15.42578125" style="1" customWidth="1"/>
    <col min="2" max="4" width="16.5703125" style="1" customWidth="1"/>
    <col min="5" max="5" width="31" style="1" customWidth="1"/>
    <col min="6" max="6" width="16.5703125" style="1" customWidth="1"/>
    <col min="7" max="8" width="9.140625" style="1"/>
    <col min="9" max="9" width="13.85546875" style="1" customWidth="1"/>
    <col min="10" max="10" width="9.140625" style="1"/>
    <col min="11" max="11" width="16" customWidth="1"/>
    <col min="12" max="12" width="12.28515625" style="5" customWidth="1"/>
  </cols>
  <sheetData>
    <row r="1" spans="1:7" x14ac:dyDescent="0.25">
      <c r="A1" s="24" t="s">
        <v>0</v>
      </c>
      <c r="B1" s="24"/>
      <c r="C1" s="24"/>
      <c r="D1" s="24"/>
      <c r="E1" s="24"/>
      <c r="F1" s="24"/>
      <c r="G1" s="24"/>
    </row>
    <row r="2" spans="1:7" x14ac:dyDescent="0.25">
      <c r="A2" s="1" t="s">
        <v>1</v>
      </c>
      <c r="B2" s="1" t="s">
        <v>3</v>
      </c>
      <c r="D2" s="1" t="s">
        <v>4</v>
      </c>
    </row>
    <row r="3" spans="1:7" x14ac:dyDescent="0.25">
      <c r="A3" s="1">
        <v>1850</v>
      </c>
      <c r="B3" s="1">
        <v>7</v>
      </c>
      <c r="C3" s="1">
        <v>2000</v>
      </c>
      <c r="D3" s="1">
        <f>SUM(C3,-1*A3)</f>
        <v>150</v>
      </c>
    </row>
    <row r="4" spans="1:7" x14ac:dyDescent="0.25">
      <c r="A4" s="1">
        <v>1800</v>
      </c>
      <c r="B4" s="1">
        <v>2</v>
      </c>
      <c r="C4" s="1">
        <v>2000</v>
      </c>
      <c r="D4" s="1">
        <f t="shared" ref="D4:D7" si="0">SUM(C4,-1*A4)</f>
        <v>200</v>
      </c>
    </row>
    <row r="5" spans="1:7" x14ac:dyDescent="0.25">
      <c r="A5" s="1">
        <v>1960</v>
      </c>
      <c r="B5" s="1">
        <v>2</v>
      </c>
      <c r="C5" s="1">
        <v>2000</v>
      </c>
      <c r="D5" s="1">
        <f t="shared" si="0"/>
        <v>40</v>
      </c>
    </row>
    <row r="6" spans="1:7" x14ac:dyDescent="0.25">
      <c r="A6" s="1">
        <v>1860</v>
      </c>
      <c r="B6" s="1">
        <v>2</v>
      </c>
      <c r="C6" s="1">
        <v>2000</v>
      </c>
      <c r="D6" s="1">
        <f t="shared" si="0"/>
        <v>140</v>
      </c>
    </row>
    <row r="7" spans="1:7" x14ac:dyDescent="0.25">
      <c r="A7" s="1">
        <v>1900</v>
      </c>
      <c r="B7" s="1">
        <v>4</v>
      </c>
      <c r="C7" s="1">
        <v>2000</v>
      </c>
      <c r="D7" s="1">
        <f t="shared" si="0"/>
        <v>100</v>
      </c>
    </row>
    <row r="8" spans="1:7" x14ac:dyDescent="0.25">
      <c r="B8" s="1">
        <f>SUM(B3:B7)</f>
        <v>17</v>
      </c>
    </row>
    <row r="11" spans="1:7" x14ac:dyDescent="0.25">
      <c r="A11" s="24" t="s">
        <v>5</v>
      </c>
      <c r="B11" s="24"/>
      <c r="C11" s="24"/>
      <c r="D11" s="24"/>
      <c r="E11" s="24"/>
      <c r="F11" s="24"/>
      <c r="G11" s="24"/>
    </row>
    <row r="12" spans="1:7" x14ac:dyDescent="0.25">
      <c r="A12" s="24" t="s">
        <v>1</v>
      </c>
      <c r="B12" s="24"/>
      <c r="C12" s="24"/>
      <c r="D12" s="24"/>
      <c r="E12" s="24"/>
      <c r="F12" s="24"/>
    </row>
    <row r="13" spans="1:7" x14ac:dyDescent="0.25">
      <c r="A13" s="1">
        <v>1960</v>
      </c>
      <c r="B13" s="1">
        <v>1</v>
      </c>
      <c r="C13" s="1">
        <v>2000</v>
      </c>
      <c r="D13" s="1">
        <f>SUM(C13,-1*A13)</f>
        <v>40</v>
      </c>
    </row>
    <row r="14" spans="1:7" x14ac:dyDescent="0.25">
      <c r="A14" s="1">
        <v>1900</v>
      </c>
      <c r="B14" s="1">
        <v>1</v>
      </c>
      <c r="C14" s="1">
        <v>2000</v>
      </c>
      <c r="D14" s="1">
        <f>SUM(C14,-1*A14)</f>
        <v>100</v>
      </c>
    </row>
    <row r="15" spans="1:7" x14ac:dyDescent="0.25">
      <c r="A15" s="1">
        <v>930</v>
      </c>
      <c r="B15" s="1">
        <v>2</v>
      </c>
      <c r="C15" s="1">
        <v>2000</v>
      </c>
      <c r="D15" s="1">
        <f>SUM(C15,-1*A15)</f>
        <v>1070</v>
      </c>
    </row>
    <row r="16" spans="1:7" x14ac:dyDescent="0.25">
      <c r="B16" s="1">
        <f>SUM(B13:B15)</f>
        <v>4</v>
      </c>
    </row>
    <row r="21" spans="1:7" x14ac:dyDescent="0.25">
      <c r="A21" s="24" t="s">
        <v>6</v>
      </c>
      <c r="B21" s="24"/>
      <c r="C21" s="24"/>
      <c r="D21" s="24"/>
      <c r="E21" s="24"/>
      <c r="F21" s="24"/>
      <c r="G21" s="24"/>
    </row>
    <row r="22" spans="1:7" x14ac:dyDescent="0.25">
      <c r="A22" s="24" t="s">
        <v>1</v>
      </c>
      <c r="B22" s="24"/>
      <c r="C22" s="24"/>
      <c r="D22" s="24"/>
      <c r="E22" s="24"/>
      <c r="F22" s="24"/>
    </row>
    <row r="23" spans="1:7" x14ac:dyDescent="0.25">
      <c r="A23" s="1">
        <v>1900</v>
      </c>
      <c r="B23" s="1">
        <v>5</v>
      </c>
      <c r="C23" s="1">
        <v>2000</v>
      </c>
      <c r="D23" s="1">
        <f>SUM(C23,-1*A23)</f>
        <v>100</v>
      </c>
    </row>
    <row r="24" spans="1:7" x14ac:dyDescent="0.25">
      <c r="A24" s="3">
        <v>920</v>
      </c>
      <c r="B24" s="3">
        <v>2</v>
      </c>
      <c r="C24" s="1">
        <v>2000</v>
      </c>
      <c r="D24" s="3">
        <f t="shared" ref="D24:D25" si="1">SUM(C24,-1*A24)</f>
        <v>1080</v>
      </c>
    </row>
    <row r="25" spans="1:7" x14ac:dyDescent="0.25">
      <c r="A25" s="3">
        <v>530</v>
      </c>
      <c r="B25" s="3">
        <v>1</v>
      </c>
      <c r="C25" s="1">
        <v>2000</v>
      </c>
      <c r="D25" s="3">
        <f t="shared" si="1"/>
        <v>1470</v>
      </c>
    </row>
    <row r="26" spans="1:7" x14ac:dyDescent="0.25">
      <c r="B26" s="1">
        <f>SUM(B23)</f>
        <v>5</v>
      </c>
    </row>
    <row r="28" spans="1:7" x14ac:dyDescent="0.25">
      <c r="A28" s="24" t="s">
        <v>7</v>
      </c>
      <c r="B28" s="24"/>
      <c r="C28" s="24"/>
      <c r="D28" s="24"/>
      <c r="E28" s="24"/>
      <c r="F28" s="24"/>
    </row>
    <row r="29" spans="1:7" x14ac:dyDescent="0.25">
      <c r="A29" s="1">
        <v>1860</v>
      </c>
      <c r="B29" s="1">
        <v>7</v>
      </c>
      <c r="C29" s="1">
        <v>2000</v>
      </c>
      <c r="D29" s="1">
        <f>SUM(C29,-1*A29)</f>
        <v>140</v>
      </c>
    </row>
    <row r="30" spans="1:7" x14ac:dyDescent="0.25">
      <c r="A30" s="1">
        <v>1320</v>
      </c>
      <c r="B30" s="1">
        <v>7</v>
      </c>
      <c r="C30" s="1">
        <v>2000</v>
      </c>
      <c r="D30" s="1">
        <f>SUM(C30,-1*A30)</f>
        <v>680</v>
      </c>
    </row>
    <row r="31" spans="1:7" x14ac:dyDescent="0.25">
      <c r="B31" s="1">
        <f>SUM(B29:B30)</f>
        <v>14</v>
      </c>
    </row>
    <row r="34" spans="1:7" x14ac:dyDescent="0.25">
      <c r="A34" s="24" t="s">
        <v>8</v>
      </c>
      <c r="B34" s="24"/>
      <c r="C34" s="24"/>
      <c r="D34" s="24"/>
      <c r="E34" s="24"/>
      <c r="F34" s="24"/>
      <c r="G34" s="24"/>
    </row>
    <row r="35" spans="1:7" x14ac:dyDescent="0.25">
      <c r="A35" s="24" t="s">
        <v>1</v>
      </c>
      <c r="B35" s="24"/>
      <c r="C35" s="24"/>
      <c r="D35" s="24"/>
      <c r="E35" s="24"/>
      <c r="F35" s="24"/>
    </row>
    <row r="40" spans="1:7" x14ac:dyDescent="0.25">
      <c r="A40" s="24" t="s">
        <v>7</v>
      </c>
      <c r="B40" s="24"/>
      <c r="C40" s="24"/>
      <c r="D40" s="24"/>
      <c r="E40" s="24"/>
      <c r="F40" s="24"/>
    </row>
    <row r="43" spans="1:7" x14ac:dyDescent="0.25">
      <c r="A43" s="24" t="s">
        <v>9</v>
      </c>
      <c r="B43" s="24"/>
      <c r="C43" s="24"/>
      <c r="D43" s="24"/>
      <c r="E43" s="24"/>
      <c r="F43" s="24"/>
    </row>
    <row r="46" spans="1:7" x14ac:dyDescent="0.25">
      <c r="A46" s="24" t="s">
        <v>13</v>
      </c>
      <c r="B46" s="24"/>
      <c r="C46" s="24"/>
      <c r="D46" s="24"/>
      <c r="E46" s="24"/>
      <c r="F46" s="24"/>
      <c r="G46" s="24"/>
    </row>
    <row r="47" spans="1:7" x14ac:dyDescent="0.25">
      <c r="A47" s="24" t="s">
        <v>1</v>
      </c>
      <c r="B47" s="24"/>
      <c r="C47" s="24"/>
      <c r="D47" s="24"/>
      <c r="E47" s="24"/>
      <c r="F47" s="24"/>
    </row>
    <row r="48" spans="1:7" x14ac:dyDescent="0.25">
      <c r="A48" s="1">
        <v>2000</v>
      </c>
      <c r="B48" s="1">
        <v>1</v>
      </c>
      <c r="C48" s="1">
        <v>2000</v>
      </c>
      <c r="D48" s="1">
        <f>SUM(C48,-1*A48)</f>
        <v>0</v>
      </c>
    </row>
    <row r="49" spans="1:7" x14ac:dyDescent="0.25">
      <c r="A49" s="1">
        <v>1230</v>
      </c>
      <c r="B49" s="1">
        <v>6</v>
      </c>
      <c r="C49" s="1">
        <v>2000</v>
      </c>
      <c r="D49" s="1">
        <f>SUM(C49,-1*A49)</f>
        <v>770</v>
      </c>
    </row>
    <row r="50" spans="1:7" x14ac:dyDescent="0.25">
      <c r="B50" s="1">
        <f>SUM(B48:B49)</f>
        <v>7</v>
      </c>
    </row>
    <row r="55" spans="1:7" x14ac:dyDescent="0.25">
      <c r="A55" s="24" t="s">
        <v>10</v>
      </c>
      <c r="B55" s="24"/>
      <c r="C55" s="24"/>
      <c r="D55" s="24"/>
      <c r="E55" s="24"/>
      <c r="F55" s="24"/>
      <c r="G55" s="24"/>
    </row>
    <row r="56" spans="1:7" x14ac:dyDescent="0.25">
      <c r="A56" s="24" t="s">
        <v>11</v>
      </c>
      <c r="B56" s="24"/>
      <c r="C56" s="24"/>
      <c r="D56" s="24"/>
      <c r="E56" s="24"/>
      <c r="F56" s="24"/>
    </row>
    <row r="57" spans="1:7" x14ac:dyDescent="0.25">
      <c r="A57" s="1">
        <v>1900</v>
      </c>
      <c r="B57" s="1">
        <v>40</v>
      </c>
      <c r="C57" s="1">
        <v>2000</v>
      </c>
      <c r="D57" s="1">
        <f>SUM(C57,-1*A57)</f>
        <v>100</v>
      </c>
      <c r="E57" s="1" t="s">
        <v>12</v>
      </c>
    </row>
    <row r="65" spans="1:6" x14ac:dyDescent="0.25">
      <c r="A65" s="24" t="s">
        <v>14</v>
      </c>
      <c r="B65" s="24"/>
      <c r="C65" s="24"/>
      <c r="D65" s="24"/>
      <c r="E65" s="24"/>
      <c r="F65" s="24"/>
    </row>
    <row r="66" spans="1:6" x14ac:dyDescent="0.25">
      <c r="A66" s="1" t="s">
        <v>1</v>
      </c>
      <c r="B66" s="1">
        <f>SUM(B26,B16,B8,B50)</f>
        <v>33</v>
      </c>
      <c r="C66" s="1">
        <v>86</v>
      </c>
      <c r="D66" s="1">
        <f>PRODUCT(B66,C66)</f>
        <v>2838</v>
      </c>
    </row>
  </sheetData>
  <sortState ref="I2:J14">
    <sortCondition descending="1" ref="I2"/>
  </sortState>
  <mergeCells count="15">
    <mergeCell ref="A65:F65"/>
    <mergeCell ref="A1:G1"/>
    <mergeCell ref="A11:G11"/>
    <mergeCell ref="A12:F12"/>
    <mergeCell ref="A21:G21"/>
    <mergeCell ref="A22:F22"/>
    <mergeCell ref="A28:F28"/>
    <mergeCell ref="A34:G34"/>
    <mergeCell ref="A35:F35"/>
    <mergeCell ref="A40:F40"/>
    <mergeCell ref="A43:F43"/>
    <mergeCell ref="A46:G46"/>
    <mergeCell ref="A47:F47"/>
    <mergeCell ref="A55:G55"/>
    <mergeCell ref="A56:F5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70"/>
  <sheetViews>
    <sheetView topLeftCell="A40" workbookViewId="0">
      <selection activeCell="A67" sqref="A67:D70"/>
    </sheetView>
  </sheetViews>
  <sheetFormatPr defaultRowHeight="15" x14ac:dyDescent="0.25"/>
  <cols>
    <col min="1" max="1" width="15.42578125" style="1" customWidth="1"/>
    <col min="2" max="2" width="16.5703125" style="1" customWidth="1"/>
    <col min="3" max="3" width="14.5703125" style="1" customWidth="1"/>
    <col min="4" max="8" width="9.140625" style="1"/>
  </cols>
  <sheetData>
    <row r="1" spans="1:5" x14ac:dyDescent="0.25">
      <c r="A1" s="24" t="s">
        <v>0</v>
      </c>
      <c r="B1" s="24"/>
      <c r="C1" s="24"/>
      <c r="D1" s="24"/>
      <c r="E1" s="24"/>
    </row>
    <row r="2" spans="1:5" x14ac:dyDescent="0.25">
      <c r="A2" s="1" t="s">
        <v>1</v>
      </c>
      <c r="C2" s="1" t="s">
        <v>2</v>
      </c>
      <c r="D2" s="2"/>
    </row>
    <row r="3" spans="1:5" x14ac:dyDescent="0.25">
      <c r="B3" s="1">
        <v>1850</v>
      </c>
      <c r="C3" s="1">
        <v>4</v>
      </c>
    </row>
    <row r="4" spans="1:5" x14ac:dyDescent="0.25">
      <c r="B4" s="1">
        <v>1800</v>
      </c>
      <c r="C4" s="1">
        <v>3</v>
      </c>
    </row>
    <row r="5" spans="1:5" x14ac:dyDescent="0.25">
      <c r="B5" s="1">
        <v>1960</v>
      </c>
      <c r="C5" s="1">
        <v>2</v>
      </c>
    </row>
    <row r="6" spans="1:5" x14ac:dyDescent="0.25">
      <c r="B6" s="1">
        <v>1860</v>
      </c>
      <c r="C6" s="1">
        <v>2</v>
      </c>
    </row>
    <row r="7" spans="1:5" x14ac:dyDescent="0.25">
      <c r="B7" s="1">
        <v>1500</v>
      </c>
      <c r="C7" s="1">
        <v>4</v>
      </c>
    </row>
    <row r="11" spans="1:5" x14ac:dyDescent="0.25">
      <c r="A11" s="24" t="s">
        <v>5</v>
      </c>
      <c r="B11" s="24"/>
      <c r="C11" s="24"/>
      <c r="D11" s="24"/>
      <c r="E11" s="24"/>
    </row>
    <row r="12" spans="1:5" x14ac:dyDescent="0.25">
      <c r="A12" s="24" t="s">
        <v>1</v>
      </c>
      <c r="B12" s="24"/>
      <c r="C12" s="24"/>
      <c r="D12" s="24"/>
    </row>
    <row r="13" spans="1:5" x14ac:dyDescent="0.25">
      <c r="B13" s="1">
        <v>1500</v>
      </c>
      <c r="C13" s="1">
        <v>1</v>
      </c>
    </row>
    <row r="21" spans="1:5" x14ac:dyDescent="0.25">
      <c r="A21" s="24" t="s">
        <v>6</v>
      </c>
      <c r="B21" s="24"/>
      <c r="C21" s="24"/>
      <c r="D21" s="24"/>
      <c r="E21" s="24"/>
    </row>
    <row r="22" spans="1:5" x14ac:dyDescent="0.25">
      <c r="A22" s="24" t="s">
        <v>1</v>
      </c>
      <c r="B22" s="24"/>
      <c r="C22" s="24"/>
      <c r="D22" s="24"/>
    </row>
    <row r="23" spans="1:5" x14ac:dyDescent="0.25">
      <c r="B23" s="1">
        <v>1500</v>
      </c>
      <c r="C23" s="1">
        <v>2</v>
      </c>
    </row>
    <row r="24" spans="1:5" x14ac:dyDescent="0.25">
      <c r="B24" s="1">
        <v>590</v>
      </c>
      <c r="C24" s="1">
        <v>1</v>
      </c>
    </row>
    <row r="28" spans="1:5" x14ac:dyDescent="0.25">
      <c r="A28" s="24" t="s">
        <v>7</v>
      </c>
      <c r="B28" s="24"/>
      <c r="C28" s="24"/>
      <c r="D28" s="24"/>
    </row>
    <row r="29" spans="1:5" x14ac:dyDescent="0.25">
      <c r="B29" s="1">
        <v>1960</v>
      </c>
      <c r="C29" s="1">
        <v>11</v>
      </c>
    </row>
    <row r="34" spans="1:5" x14ac:dyDescent="0.25">
      <c r="A34" s="24" t="s">
        <v>8</v>
      </c>
      <c r="B34" s="24"/>
      <c r="C34" s="24"/>
      <c r="D34" s="24"/>
      <c r="E34" s="24"/>
    </row>
    <row r="35" spans="1:5" x14ac:dyDescent="0.25">
      <c r="A35" s="24" t="s">
        <v>1</v>
      </c>
      <c r="B35" s="24"/>
      <c r="C35" s="24"/>
      <c r="D35" s="24"/>
    </row>
    <row r="36" spans="1:5" x14ac:dyDescent="0.25">
      <c r="B36" s="1">
        <v>400</v>
      </c>
      <c r="C36" s="1">
        <v>3</v>
      </c>
    </row>
    <row r="37" spans="1:5" x14ac:dyDescent="0.25">
      <c r="B37" s="1">
        <v>370</v>
      </c>
      <c r="C37" s="1">
        <v>3</v>
      </c>
    </row>
    <row r="40" spans="1:5" x14ac:dyDescent="0.25">
      <c r="A40" s="24" t="s">
        <v>7</v>
      </c>
      <c r="B40" s="24"/>
      <c r="C40" s="24"/>
      <c r="D40" s="24"/>
    </row>
    <row r="41" spans="1:5" x14ac:dyDescent="0.25">
      <c r="B41" s="1">
        <v>1600</v>
      </c>
      <c r="C41" s="1">
        <v>2</v>
      </c>
    </row>
    <row r="43" spans="1:5" x14ac:dyDescent="0.25">
      <c r="A43" s="24" t="s">
        <v>9</v>
      </c>
      <c r="B43" s="24"/>
      <c r="C43" s="24"/>
      <c r="D43" s="24"/>
    </row>
    <row r="44" spans="1:5" x14ac:dyDescent="0.25">
      <c r="B44" s="1">
        <v>1600</v>
      </c>
      <c r="C44" s="1">
        <v>2</v>
      </c>
    </row>
    <row r="46" spans="1:5" x14ac:dyDescent="0.25">
      <c r="A46" s="24" t="s">
        <v>13</v>
      </c>
      <c r="B46" s="24"/>
      <c r="C46" s="24"/>
      <c r="D46" s="24"/>
      <c r="E46" s="24"/>
    </row>
    <row r="47" spans="1:5" x14ac:dyDescent="0.25">
      <c r="A47" s="24" t="s">
        <v>1</v>
      </c>
      <c r="B47" s="24"/>
      <c r="C47" s="24"/>
      <c r="D47" s="24"/>
    </row>
    <row r="48" spans="1:5" x14ac:dyDescent="0.25">
      <c r="B48" s="1">
        <v>1500</v>
      </c>
      <c r="C48" s="1">
        <v>1</v>
      </c>
    </row>
    <row r="49" spans="1:5" x14ac:dyDescent="0.25">
      <c r="B49" s="1">
        <v>1230</v>
      </c>
      <c r="C49" s="1">
        <v>6</v>
      </c>
    </row>
    <row r="55" spans="1:5" x14ac:dyDescent="0.25">
      <c r="A55" s="24" t="s">
        <v>10</v>
      </c>
      <c r="B55" s="24"/>
      <c r="C55" s="24"/>
      <c r="D55" s="24"/>
      <c r="E55" s="24"/>
    </row>
    <row r="56" spans="1:5" x14ac:dyDescent="0.25">
      <c r="A56" s="24" t="s">
        <v>11</v>
      </c>
      <c r="B56" s="24"/>
      <c r="C56" s="24"/>
      <c r="D56" s="24"/>
    </row>
    <row r="57" spans="1:5" x14ac:dyDescent="0.25">
      <c r="A57" s="1">
        <v>1900</v>
      </c>
    </row>
    <row r="58" spans="1:5" x14ac:dyDescent="0.25">
      <c r="A58" s="24" t="s">
        <v>7</v>
      </c>
      <c r="B58" s="24"/>
      <c r="C58" s="24"/>
      <c r="D58" s="24"/>
    </row>
    <row r="59" spans="1:5" x14ac:dyDescent="0.25">
      <c r="B59" s="1">
        <v>1500</v>
      </c>
      <c r="C59" s="1">
        <v>3</v>
      </c>
    </row>
    <row r="66" spans="1:5" x14ac:dyDescent="0.25">
      <c r="A66" s="24" t="s">
        <v>15</v>
      </c>
      <c r="B66" s="24"/>
      <c r="C66" s="24"/>
      <c r="D66" s="24"/>
      <c r="E66" s="24"/>
    </row>
    <row r="67" spans="1:5" x14ac:dyDescent="0.25">
      <c r="A67" s="24" t="s">
        <v>16</v>
      </c>
      <c r="B67" s="24"/>
      <c r="C67" s="24"/>
      <c r="D67" s="24"/>
    </row>
    <row r="68" spans="1:5" x14ac:dyDescent="0.25">
      <c r="A68" s="1">
        <v>2000</v>
      </c>
      <c r="B68" s="1">
        <v>2</v>
      </c>
    </row>
    <row r="69" spans="1:5" x14ac:dyDescent="0.25">
      <c r="A69" s="1">
        <v>1600</v>
      </c>
      <c r="B69" s="1">
        <v>4</v>
      </c>
    </row>
    <row r="70" spans="1:5" x14ac:dyDescent="0.25">
      <c r="A70" s="1">
        <v>1800</v>
      </c>
      <c r="B70" s="1">
        <v>8</v>
      </c>
    </row>
  </sheetData>
  <mergeCells count="17">
    <mergeCell ref="A47:D47"/>
    <mergeCell ref="A1:E1"/>
    <mergeCell ref="A11:E11"/>
    <mergeCell ref="A12:D12"/>
    <mergeCell ref="A21:E21"/>
    <mergeCell ref="A22:D22"/>
    <mergeCell ref="A28:D28"/>
    <mergeCell ref="A34:E34"/>
    <mergeCell ref="A35:D35"/>
    <mergeCell ref="A40:D40"/>
    <mergeCell ref="A43:D43"/>
    <mergeCell ref="A46:E46"/>
    <mergeCell ref="A55:E55"/>
    <mergeCell ref="A56:D56"/>
    <mergeCell ref="A58:D58"/>
    <mergeCell ref="A66:E66"/>
    <mergeCell ref="A67:D6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N130"/>
  <sheetViews>
    <sheetView topLeftCell="A58" workbookViewId="0">
      <selection activeCell="F30" sqref="F30"/>
    </sheetView>
  </sheetViews>
  <sheetFormatPr defaultRowHeight="15" x14ac:dyDescent="0.25"/>
  <cols>
    <col min="10" max="10" width="9.140625" style="5"/>
  </cols>
  <sheetData>
    <row r="1" spans="2:12" x14ac:dyDescent="0.25">
      <c r="B1" s="24" t="s">
        <v>1</v>
      </c>
      <c r="C1" s="24"/>
      <c r="D1" s="24"/>
      <c r="E1" s="24"/>
      <c r="F1" s="24"/>
      <c r="G1" s="24"/>
    </row>
    <row r="3" spans="2:12" x14ac:dyDescent="0.25">
      <c r="B3" s="4">
        <v>2000</v>
      </c>
      <c r="C3" s="4">
        <v>1</v>
      </c>
      <c r="D3" s="4">
        <v>3000</v>
      </c>
      <c r="E3" s="6">
        <f t="shared" ref="E3:E28" si="0">SUM(D3,B3*(-1))</f>
        <v>1000</v>
      </c>
      <c r="I3" s="4">
        <v>2000</v>
      </c>
      <c r="J3" s="4">
        <v>1</v>
      </c>
      <c r="K3" s="4">
        <v>2000</v>
      </c>
      <c r="L3" s="6">
        <f t="shared" ref="L3:L34" si="1">SUM(K3,I3*(-1))</f>
        <v>0</v>
      </c>
    </row>
    <row r="4" spans="2:12" x14ac:dyDescent="0.25">
      <c r="B4" s="4">
        <v>1960</v>
      </c>
      <c r="C4" s="4">
        <v>2</v>
      </c>
      <c r="D4" s="4">
        <v>3000</v>
      </c>
      <c r="E4" s="6">
        <f t="shared" si="0"/>
        <v>1040</v>
      </c>
      <c r="I4" s="4">
        <v>1960</v>
      </c>
      <c r="J4" s="4">
        <v>1</v>
      </c>
      <c r="K4" s="4">
        <v>2000</v>
      </c>
      <c r="L4" s="6">
        <f t="shared" si="1"/>
        <v>40</v>
      </c>
    </row>
    <row r="5" spans="2:12" x14ac:dyDescent="0.25">
      <c r="B5" s="4">
        <v>1960</v>
      </c>
      <c r="C5" s="4">
        <v>1</v>
      </c>
      <c r="D5" s="4">
        <v>3000</v>
      </c>
      <c r="E5" s="6">
        <f t="shared" si="0"/>
        <v>1040</v>
      </c>
      <c r="I5" s="4">
        <v>1960</v>
      </c>
      <c r="J5" s="4">
        <v>1</v>
      </c>
      <c r="K5" s="4">
        <v>2000</v>
      </c>
      <c r="L5" s="6">
        <f t="shared" si="1"/>
        <v>40</v>
      </c>
    </row>
    <row r="6" spans="2:12" x14ac:dyDescent="0.25">
      <c r="B6" s="1">
        <v>1960</v>
      </c>
      <c r="C6" s="1">
        <v>2</v>
      </c>
      <c r="D6" s="4">
        <v>3000</v>
      </c>
      <c r="E6" s="6">
        <f t="shared" si="0"/>
        <v>1040</v>
      </c>
      <c r="I6" s="1">
        <v>1960</v>
      </c>
      <c r="J6" s="1">
        <v>1</v>
      </c>
      <c r="K6" s="4">
        <v>2000</v>
      </c>
      <c r="L6" s="6">
        <f t="shared" si="1"/>
        <v>40</v>
      </c>
    </row>
    <row r="7" spans="2:12" x14ac:dyDescent="0.25">
      <c r="B7" s="4">
        <v>1900</v>
      </c>
      <c r="C7" s="4">
        <v>4</v>
      </c>
      <c r="D7" s="4">
        <v>3000</v>
      </c>
      <c r="E7" s="6">
        <f t="shared" si="0"/>
        <v>1100</v>
      </c>
      <c r="I7" s="1">
        <v>1960</v>
      </c>
      <c r="J7" s="1">
        <v>1</v>
      </c>
      <c r="K7" s="4">
        <v>2000</v>
      </c>
      <c r="L7" s="6">
        <f t="shared" si="1"/>
        <v>40</v>
      </c>
    </row>
    <row r="8" spans="2:12" x14ac:dyDescent="0.25">
      <c r="B8" s="4">
        <v>1900</v>
      </c>
      <c r="C8" s="4">
        <v>1</v>
      </c>
      <c r="D8" s="4">
        <v>3000</v>
      </c>
      <c r="E8" s="6">
        <f t="shared" si="0"/>
        <v>1100</v>
      </c>
      <c r="I8" s="1">
        <v>1900</v>
      </c>
      <c r="J8" s="1">
        <v>1</v>
      </c>
      <c r="K8" s="4">
        <v>2000</v>
      </c>
      <c r="L8" s="6">
        <f t="shared" si="1"/>
        <v>100</v>
      </c>
    </row>
    <row r="9" spans="2:12" x14ac:dyDescent="0.25">
      <c r="B9" s="4">
        <v>1900</v>
      </c>
      <c r="C9" s="4">
        <v>5</v>
      </c>
      <c r="D9" s="4">
        <v>3000</v>
      </c>
      <c r="E9" s="6">
        <f t="shared" si="0"/>
        <v>1100</v>
      </c>
      <c r="I9" s="1">
        <v>1900</v>
      </c>
      <c r="J9" s="1">
        <v>1</v>
      </c>
      <c r="K9" s="4">
        <v>2000</v>
      </c>
      <c r="L9" s="6">
        <f t="shared" si="1"/>
        <v>100</v>
      </c>
    </row>
    <row r="10" spans="2:12" x14ac:dyDescent="0.25">
      <c r="B10" s="4">
        <v>1860</v>
      </c>
      <c r="C10" s="4">
        <v>2</v>
      </c>
      <c r="D10" s="4">
        <v>3000</v>
      </c>
      <c r="E10" s="6">
        <f t="shared" si="0"/>
        <v>1140</v>
      </c>
      <c r="I10" s="1">
        <v>1900</v>
      </c>
      <c r="J10" s="1">
        <v>1</v>
      </c>
      <c r="K10" s="4">
        <v>2000</v>
      </c>
      <c r="L10" s="6">
        <f t="shared" si="1"/>
        <v>100</v>
      </c>
    </row>
    <row r="11" spans="2:12" x14ac:dyDescent="0.25">
      <c r="B11" s="1">
        <v>1860</v>
      </c>
      <c r="C11" s="1">
        <v>2</v>
      </c>
      <c r="D11" s="4">
        <v>3000</v>
      </c>
      <c r="E11" s="6">
        <f t="shared" si="0"/>
        <v>1140</v>
      </c>
      <c r="I11" s="1">
        <v>1900</v>
      </c>
      <c r="J11" s="1">
        <v>1</v>
      </c>
      <c r="K11" s="4">
        <v>2000</v>
      </c>
      <c r="L11" s="6">
        <f t="shared" si="1"/>
        <v>100</v>
      </c>
    </row>
    <row r="12" spans="2:12" x14ac:dyDescent="0.25">
      <c r="B12" s="4">
        <v>1850</v>
      </c>
      <c r="C12" s="4">
        <v>7</v>
      </c>
      <c r="D12" s="4">
        <v>3000</v>
      </c>
      <c r="E12" s="6">
        <f t="shared" si="0"/>
        <v>1150</v>
      </c>
      <c r="I12" s="1">
        <v>1900</v>
      </c>
      <c r="J12" s="1">
        <v>1</v>
      </c>
      <c r="K12" s="4">
        <v>2000</v>
      </c>
      <c r="L12" s="6">
        <f t="shared" si="1"/>
        <v>100</v>
      </c>
    </row>
    <row r="13" spans="2:12" x14ac:dyDescent="0.25">
      <c r="B13" s="1">
        <v>1850</v>
      </c>
      <c r="C13" s="1">
        <v>4</v>
      </c>
      <c r="D13" s="4">
        <v>3000</v>
      </c>
      <c r="E13" s="6">
        <f t="shared" si="0"/>
        <v>1150</v>
      </c>
      <c r="I13" s="1">
        <v>1900</v>
      </c>
      <c r="J13" s="1">
        <v>1</v>
      </c>
      <c r="K13" s="4">
        <v>2000</v>
      </c>
      <c r="L13" s="6">
        <f t="shared" si="1"/>
        <v>100</v>
      </c>
    </row>
    <row r="14" spans="2:12" x14ac:dyDescent="0.25">
      <c r="B14" s="4">
        <v>1800</v>
      </c>
      <c r="C14" s="4">
        <v>2</v>
      </c>
      <c r="D14" s="4">
        <v>3000</v>
      </c>
      <c r="E14" s="6">
        <f t="shared" si="0"/>
        <v>1200</v>
      </c>
      <c r="I14" s="1">
        <v>1900</v>
      </c>
      <c r="J14" s="1">
        <v>1</v>
      </c>
      <c r="K14" s="4">
        <v>2000</v>
      </c>
      <c r="L14" s="6">
        <f t="shared" si="1"/>
        <v>100</v>
      </c>
    </row>
    <row r="15" spans="2:12" x14ac:dyDescent="0.25">
      <c r="B15" s="1">
        <v>1800</v>
      </c>
      <c r="C15" s="1">
        <v>3</v>
      </c>
      <c r="D15" s="4">
        <v>3000</v>
      </c>
      <c r="E15" s="6">
        <f t="shared" si="0"/>
        <v>1200</v>
      </c>
      <c r="I15" s="1">
        <v>1900</v>
      </c>
      <c r="J15" s="1">
        <v>1</v>
      </c>
      <c r="K15" s="4">
        <v>2000</v>
      </c>
      <c r="L15" s="6">
        <f t="shared" si="1"/>
        <v>100</v>
      </c>
    </row>
    <row r="16" spans="2:12" x14ac:dyDescent="0.25">
      <c r="B16" s="1">
        <v>1500</v>
      </c>
      <c r="C16" s="1">
        <v>4</v>
      </c>
      <c r="D16" s="4">
        <v>3000</v>
      </c>
      <c r="E16" s="6">
        <f t="shared" si="0"/>
        <v>1500</v>
      </c>
      <c r="I16" s="1">
        <v>1900</v>
      </c>
      <c r="J16" s="1">
        <v>1</v>
      </c>
      <c r="K16" s="4">
        <v>2000</v>
      </c>
      <c r="L16" s="6">
        <f t="shared" si="1"/>
        <v>100</v>
      </c>
    </row>
    <row r="17" spans="2:12" x14ac:dyDescent="0.25">
      <c r="B17" s="1">
        <v>1500</v>
      </c>
      <c r="C17" s="1">
        <v>1</v>
      </c>
      <c r="D17" s="4">
        <v>3000</v>
      </c>
      <c r="E17" s="6">
        <f t="shared" si="0"/>
        <v>1500</v>
      </c>
      <c r="I17" s="1">
        <v>1900</v>
      </c>
      <c r="J17" s="1">
        <v>1</v>
      </c>
      <c r="K17" s="4">
        <v>2000</v>
      </c>
      <c r="L17" s="6">
        <f t="shared" si="1"/>
        <v>100</v>
      </c>
    </row>
    <row r="18" spans="2:12" x14ac:dyDescent="0.25">
      <c r="B18" s="1">
        <v>1500</v>
      </c>
      <c r="C18" s="1">
        <v>2</v>
      </c>
      <c r="D18" s="4">
        <v>3000</v>
      </c>
      <c r="E18" s="6">
        <f t="shared" si="0"/>
        <v>1500</v>
      </c>
      <c r="I18" s="4">
        <v>1860</v>
      </c>
      <c r="J18" s="4">
        <v>1</v>
      </c>
      <c r="K18" s="4">
        <v>2000</v>
      </c>
      <c r="L18" s="6">
        <f t="shared" si="1"/>
        <v>140</v>
      </c>
    </row>
    <row r="19" spans="2:12" x14ac:dyDescent="0.25">
      <c r="B19" s="1">
        <v>1500</v>
      </c>
      <c r="C19" s="1">
        <v>1</v>
      </c>
      <c r="D19" s="4">
        <v>3000</v>
      </c>
      <c r="E19" s="6">
        <f t="shared" si="0"/>
        <v>1500</v>
      </c>
      <c r="I19" s="4">
        <v>1860</v>
      </c>
      <c r="J19" s="4">
        <v>1</v>
      </c>
      <c r="K19" s="4">
        <v>2000</v>
      </c>
      <c r="L19" s="6">
        <f t="shared" si="1"/>
        <v>140</v>
      </c>
    </row>
    <row r="20" spans="2:12" x14ac:dyDescent="0.25">
      <c r="B20" s="4">
        <v>1230</v>
      </c>
      <c r="C20" s="4">
        <v>6</v>
      </c>
      <c r="D20" s="4">
        <v>3000</v>
      </c>
      <c r="E20" s="6">
        <f t="shared" si="0"/>
        <v>1770</v>
      </c>
      <c r="I20" s="4">
        <v>1860</v>
      </c>
      <c r="J20" s="4">
        <v>1</v>
      </c>
      <c r="K20" s="4">
        <v>2000</v>
      </c>
      <c r="L20" s="6">
        <f t="shared" si="1"/>
        <v>140</v>
      </c>
    </row>
    <row r="21" spans="2:12" x14ac:dyDescent="0.25">
      <c r="B21" s="1">
        <v>1230</v>
      </c>
      <c r="C21" s="1">
        <v>6</v>
      </c>
      <c r="D21" s="4">
        <v>3000</v>
      </c>
      <c r="E21" s="6">
        <f t="shared" si="0"/>
        <v>1770</v>
      </c>
      <c r="I21" s="4">
        <v>1860</v>
      </c>
      <c r="J21" s="4">
        <v>1</v>
      </c>
      <c r="K21" s="4">
        <v>2000</v>
      </c>
      <c r="L21" s="6">
        <f t="shared" si="1"/>
        <v>140</v>
      </c>
    </row>
    <row r="22" spans="2:12" x14ac:dyDescent="0.25">
      <c r="B22" s="4">
        <v>930</v>
      </c>
      <c r="C22" s="4">
        <v>1</v>
      </c>
      <c r="D22" s="4">
        <v>3000</v>
      </c>
      <c r="E22" s="6">
        <f t="shared" si="0"/>
        <v>2070</v>
      </c>
      <c r="I22" s="4">
        <v>1850</v>
      </c>
      <c r="J22" s="4">
        <v>1</v>
      </c>
      <c r="K22" s="4">
        <v>2000</v>
      </c>
      <c r="L22" s="6">
        <f t="shared" si="1"/>
        <v>150</v>
      </c>
    </row>
    <row r="23" spans="2:12" x14ac:dyDescent="0.25">
      <c r="B23" s="4">
        <v>930</v>
      </c>
      <c r="C23" s="4">
        <v>1</v>
      </c>
      <c r="D23" s="4">
        <v>3000</v>
      </c>
      <c r="E23" s="6">
        <f t="shared" si="0"/>
        <v>2070</v>
      </c>
      <c r="I23" s="4">
        <v>1850</v>
      </c>
      <c r="J23" s="4">
        <v>1</v>
      </c>
      <c r="K23" s="4">
        <v>2000</v>
      </c>
      <c r="L23" s="6">
        <f t="shared" si="1"/>
        <v>150</v>
      </c>
    </row>
    <row r="24" spans="2:12" x14ac:dyDescent="0.25">
      <c r="B24" s="4">
        <v>920</v>
      </c>
      <c r="C24" s="4">
        <v>2</v>
      </c>
      <c r="D24" s="4">
        <v>3000</v>
      </c>
      <c r="E24" s="6">
        <f t="shared" si="0"/>
        <v>2080</v>
      </c>
      <c r="I24" s="4">
        <v>1850</v>
      </c>
      <c r="J24" s="4">
        <v>1</v>
      </c>
      <c r="K24" s="4">
        <v>2000</v>
      </c>
      <c r="L24" s="6">
        <f t="shared" si="1"/>
        <v>150</v>
      </c>
    </row>
    <row r="25" spans="2:12" x14ac:dyDescent="0.25">
      <c r="B25" s="1">
        <v>590</v>
      </c>
      <c r="C25" s="1">
        <v>1</v>
      </c>
      <c r="D25" s="4">
        <v>3000</v>
      </c>
      <c r="E25" s="6">
        <f t="shared" si="0"/>
        <v>2410</v>
      </c>
      <c r="I25" s="4">
        <v>1850</v>
      </c>
      <c r="J25" s="4">
        <v>1</v>
      </c>
      <c r="K25" s="4">
        <v>2000</v>
      </c>
      <c r="L25" s="6">
        <f t="shared" si="1"/>
        <v>150</v>
      </c>
    </row>
    <row r="26" spans="2:12" x14ac:dyDescent="0.25">
      <c r="B26" s="4">
        <v>530</v>
      </c>
      <c r="C26" s="4">
        <v>1</v>
      </c>
      <c r="D26" s="4">
        <v>3000</v>
      </c>
      <c r="E26" s="6">
        <f t="shared" si="0"/>
        <v>2470</v>
      </c>
      <c r="I26" s="4">
        <v>1850</v>
      </c>
      <c r="J26" s="4">
        <v>1</v>
      </c>
      <c r="K26" s="4">
        <v>2000</v>
      </c>
      <c r="L26" s="6">
        <f t="shared" si="1"/>
        <v>150</v>
      </c>
    </row>
    <row r="27" spans="2:12" x14ac:dyDescent="0.25">
      <c r="B27" s="1">
        <v>400</v>
      </c>
      <c r="C27" s="1">
        <v>3</v>
      </c>
      <c r="D27" s="4">
        <v>3000</v>
      </c>
      <c r="E27" s="6">
        <f t="shared" si="0"/>
        <v>2600</v>
      </c>
      <c r="I27" s="4">
        <v>1850</v>
      </c>
      <c r="J27" s="4">
        <v>1</v>
      </c>
      <c r="K27" s="4">
        <v>2000</v>
      </c>
      <c r="L27" s="6">
        <f t="shared" si="1"/>
        <v>150</v>
      </c>
    </row>
    <row r="28" spans="2:12" x14ac:dyDescent="0.25">
      <c r="B28" s="1">
        <v>370</v>
      </c>
      <c r="C28" s="1">
        <v>3</v>
      </c>
      <c r="D28" s="4">
        <v>3000</v>
      </c>
      <c r="E28" s="6">
        <f t="shared" si="0"/>
        <v>2630</v>
      </c>
      <c r="I28" s="4">
        <v>1850</v>
      </c>
      <c r="J28" s="4">
        <v>1</v>
      </c>
      <c r="K28" s="4">
        <v>2000</v>
      </c>
      <c r="L28" s="6">
        <f t="shared" si="1"/>
        <v>150</v>
      </c>
    </row>
    <row r="29" spans="2:12" x14ac:dyDescent="0.25">
      <c r="I29" s="4">
        <v>1850</v>
      </c>
      <c r="J29" s="4">
        <v>1</v>
      </c>
      <c r="K29" s="4">
        <v>2000</v>
      </c>
      <c r="L29" s="6">
        <f t="shared" si="1"/>
        <v>150</v>
      </c>
    </row>
    <row r="30" spans="2:12" x14ac:dyDescent="0.25">
      <c r="I30" s="4">
        <v>1850</v>
      </c>
      <c r="J30" s="4">
        <v>1</v>
      </c>
      <c r="K30" s="4">
        <v>2000</v>
      </c>
      <c r="L30" s="6">
        <f t="shared" si="1"/>
        <v>150</v>
      </c>
    </row>
    <row r="31" spans="2:12" x14ac:dyDescent="0.25">
      <c r="I31" s="4">
        <v>1850</v>
      </c>
      <c r="J31" s="4">
        <v>1</v>
      </c>
      <c r="K31" s="4">
        <v>2000</v>
      </c>
      <c r="L31" s="6">
        <f t="shared" si="1"/>
        <v>150</v>
      </c>
    </row>
    <row r="32" spans="2:12" x14ac:dyDescent="0.25">
      <c r="I32" s="4">
        <v>1850</v>
      </c>
      <c r="J32" s="4">
        <v>1</v>
      </c>
      <c r="K32" s="4">
        <v>2000</v>
      </c>
      <c r="L32" s="6">
        <f t="shared" si="1"/>
        <v>150</v>
      </c>
    </row>
    <row r="33" spans="9:12" x14ac:dyDescent="0.25">
      <c r="I33" s="4">
        <v>1800</v>
      </c>
      <c r="J33" s="4">
        <v>1</v>
      </c>
      <c r="K33" s="4">
        <v>2000</v>
      </c>
      <c r="L33" s="6">
        <f t="shared" si="1"/>
        <v>200</v>
      </c>
    </row>
    <row r="34" spans="9:12" x14ac:dyDescent="0.25">
      <c r="I34" s="4">
        <v>1800</v>
      </c>
      <c r="J34" s="4">
        <v>1</v>
      </c>
      <c r="K34" s="4">
        <v>2000</v>
      </c>
      <c r="L34" s="6">
        <f t="shared" si="1"/>
        <v>200</v>
      </c>
    </row>
    <row r="35" spans="9:12" x14ac:dyDescent="0.25">
      <c r="I35" s="4">
        <v>1800</v>
      </c>
      <c r="J35" s="4">
        <v>1</v>
      </c>
      <c r="K35" s="4">
        <v>2000</v>
      </c>
      <c r="L35" s="6">
        <f t="shared" ref="L35:L66" si="2">SUM(K35,I35*(-1))</f>
        <v>200</v>
      </c>
    </row>
    <row r="36" spans="9:12" x14ac:dyDescent="0.25">
      <c r="I36" s="4">
        <v>1800</v>
      </c>
      <c r="J36" s="4">
        <v>1</v>
      </c>
      <c r="K36" s="4">
        <v>2000</v>
      </c>
      <c r="L36" s="6">
        <f t="shared" si="2"/>
        <v>200</v>
      </c>
    </row>
    <row r="37" spans="9:12" x14ac:dyDescent="0.25">
      <c r="I37" s="4">
        <v>1800</v>
      </c>
      <c r="J37" s="4">
        <v>1</v>
      </c>
      <c r="K37" s="4">
        <v>2000</v>
      </c>
      <c r="L37" s="6">
        <f t="shared" si="2"/>
        <v>200</v>
      </c>
    </row>
    <row r="38" spans="9:12" x14ac:dyDescent="0.25">
      <c r="I38" s="9">
        <v>1500</v>
      </c>
      <c r="J38" s="9">
        <v>1</v>
      </c>
      <c r="K38" s="9">
        <v>3000</v>
      </c>
      <c r="L38" s="10">
        <f t="shared" si="2"/>
        <v>1500</v>
      </c>
    </row>
    <row r="39" spans="9:12" x14ac:dyDescent="0.25">
      <c r="I39" s="9">
        <v>1500</v>
      </c>
      <c r="J39" s="9">
        <v>1</v>
      </c>
      <c r="K39" s="9">
        <v>3000</v>
      </c>
      <c r="L39" s="10">
        <f t="shared" si="2"/>
        <v>1500</v>
      </c>
    </row>
    <row r="40" spans="9:12" x14ac:dyDescent="0.25">
      <c r="I40" s="9">
        <v>1500</v>
      </c>
      <c r="J40" s="9">
        <v>1</v>
      </c>
      <c r="K40" s="9">
        <v>3000</v>
      </c>
      <c r="L40" s="10">
        <f t="shared" si="2"/>
        <v>1500</v>
      </c>
    </row>
    <row r="41" spans="9:12" x14ac:dyDescent="0.25">
      <c r="I41" s="9">
        <v>1500</v>
      </c>
      <c r="J41" s="9">
        <v>1</v>
      </c>
      <c r="K41" s="9">
        <v>3000</v>
      </c>
      <c r="L41" s="10">
        <f t="shared" si="2"/>
        <v>1500</v>
      </c>
    </row>
    <row r="42" spans="9:12" x14ac:dyDescent="0.25">
      <c r="I42" s="9">
        <v>1500</v>
      </c>
      <c r="J42" s="9">
        <v>0</v>
      </c>
      <c r="K42" s="9">
        <f>SUM(L38)</f>
        <v>1500</v>
      </c>
      <c r="L42" s="10">
        <f t="shared" si="2"/>
        <v>0</v>
      </c>
    </row>
    <row r="43" spans="9:12" x14ac:dyDescent="0.25">
      <c r="I43" s="9">
        <v>1500</v>
      </c>
      <c r="J43" s="9">
        <v>0</v>
      </c>
      <c r="K43" s="9">
        <f t="shared" ref="K43:K45" si="3">SUM(L39)</f>
        <v>1500</v>
      </c>
      <c r="L43" s="10">
        <f t="shared" si="2"/>
        <v>0</v>
      </c>
    </row>
    <row r="44" spans="9:12" x14ac:dyDescent="0.25">
      <c r="I44" s="9">
        <v>1500</v>
      </c>
      <c r="J44" s="9">
        <v>0</v>
      </c>
      <c r="K44" s="9">
        <f t="shared" si="3"/>
        <v>1500</v>
      </c>
      <c r="L44" s="10">
        <f t="shared" si="2"/>
        <v>0</v>
      </c>
    </row>
    <row r="45" spans="9:12" x14ac:dyDescent="0.25">
      <c r="I45" s="9">
        <v>1500</v>
      </c>
      <c r="J45" s="9">
        <v>0</v>
      </c>
      <c r="K45" s="9">
        <f t="shared" si="3"/>
        <v>1500</v>
      </c>
      <c r="L45" s="10">
        <f t="shared" si="2"/>
        <v>0</v>
      </c>
    </row>
    <row r="46" spans="9:12" x14ac:dyDescent="0.25">
      <c r="I46" s="7">
        <v>1230</v>
      </c>
      <c r="J46" s="7">
        <v>1</v>
      </c>
      <c r="K46" s="7">
        <v>3000</v>
      </c>
      <c r="L46" s="8">
        <f t="shared" si="2"/>
        <v>1770</v>
      </c>
    </row>
    <row r="47" spans="9:12" x14ac:dyDescent="0.25">
      <c r="I47" s="7">
        <v>1230</v>
      </c>
      <c r="J47" s="7">
        <v>1</v>
      </c>
      <c r="K47" s="7">
        <v>3000</v>
      </c>
      <c r="L47" s="8">
        <f t="shared" si="2"/>
        <v>1770</v>
      </c>
    </row>
    <row r="48" spans="9:12" x14ac:dyDescent="0.25">
      <c r="I48" s="7">
        <v>1230</v>
      </c>
      <c r="J48" s="7">
        <v>1</v>
      </c>
      <c r="K48" s="7">
        <v>3000</v>
      </c>
      <c r="L48" s="8">
        <f t="shared" si="2"/>
        <v>1770</v>
      </c>
    </row>
    <row r="49" spans="9:12" x14ac:dyDescent="0.25">
      <c r="I49" s="7">
        <v>1230</v>
      </c>
      <c r="J49" s="7">
        <v>1</v>
      </c>
      <c r="K49" s="7">
        <v>3000</v>
      </c>
      <c r="L49" s="8">
        <f t="shared" si="2"/>
        <v>1770</v>
      </c>
    </row>
    <row r="50" spans="9:12" x14ac:dyDescent="0.25">
      <c r="I50" s="7">
        <v>1230</v>
      </c>
      <c r="J50" s="7">
        <v>1</v>
      </c>
      <c r="K50" s="7">
        <v>3000</v>
      </c>
      <c r="L50" s="8">
        <f t="shared" si="2"/>
        <v>1770</v>
      </c>
    </row>
    <row r="51" spans="9:12" x14ac:dyDescent="0.25">
      <c r="I51" s="7">
        <v>1230</v>
      </c>
      <c r="J51" s="7">
        <v>1</v>
      </c>
      <c r="K51" s="7">
        <v>3000</v>
      </c>
      <c r="L51" s="8">
        <f t="shared" si="2"/>
        <v>1770</v>
      </c>
    </row>
    <row r="52" spans="9:12" x14ac:dyDescent="0.25">
      <c r="I52" s="7">
        <v>1230</v>
      </c>
      <c r="J52" s="7">
        <v>0</v>
      </c>
      <c r="K52" s="7">
        <f>SUM(L46)</f>
        <v>1770</v>
      </c>
      <c r="L52" s="12">
        <f t="shared" si="2"/>
        <v>540</v>
      </c>
    </row>
    <row r="53" spans="9:12" x14ac:dyDescent="0.25">
      <c r="I53" s="7">
        <v>1230</v>
      </c>
      <c r="J53" s="7">
        <v>0</v>
      </c>
      <c r="K53" s="7">
        <f t="shared" ref="K53:K57" si="4">SUM(L47)</f>
        <v>1770</v>
      </c>
      <c r="L53" s="12">
        <f t="shared" si="2"/>
        <v>540</v>
      </c>
    </row>
    <row r="54" spans="9:12" x14ac:dyDescent="0.25">
      <c r="I54" s="7">
        <v>1230</v>
      </c>
      <c r="J54" s="7">
        <v>0</v>
      </c>
      <c r="K54" s="7">
        <f t="shared" si="4"/>
        <v>1770</v>
      </c>
      <c r="L54" s="12">
        <f t="shared" si="2"/>
        <v>540</v>
      </c>
    </row>
    <row r="55" spans="9:12" x14ac:dyDescent="0.25">
      <c r="I55" s="7">
        <v>1230</v>
      </c>
      <c r="J55" s="7">
        <v>0</v>
      </c>
      <c r="K55" s="7">
        <f t="shared" si="4"/>
        <v>1770</v>
      </c>
      <c r="L55" s="12">
        <f t="shared" si="2"/>
        <v>540</v>
      </c>
    </row>
    <row r="56" spans="9:12" x14ac:dyDescent="0.25">
      <c r="I56" s="7">
        <v>1230</v>
      </c>
      <c r="J56" s="7">
        <v>0</v>
      </c>
      <c r="K56" s="7">
        <f t="shared" si="4"/>
        <v>1770</v>
      </c>
      <c r="L56" s="12">
        <f t="shared" si="2"/>
        <v>540</v>
      </c>
    </row>
    <row r="57" spans="9:12" x14ac:dyDescent="0.25">
      <c r="I57" s="7">
        <v>1230</v>
      </c>
      <c r="J57" s="7">
        <v>0</v>
      </c>
      <c r="K57" s="7">
        <f t="shared" si="4"/>
        <v>1770</v>
      </c>
      <c r="L57" s="12">
        <f t="shared" si="2"/>
        <v>540</v>
      </c>
    </row>
    <row r="58" spans="9:12" x14ac:dyDescent="0.25">
      <c r="I58" s="4">
        <v>930</v>
      </c>
      <c r="J58" s="4">
        <v>1</v>
      </c>
      <c r="K58" s="4">
        <v>2000</v>
      </c>
      <c r="L58" s="11">
        <f t="shared" si="2"/>
        <v>1070</v>
      </c>
    </row>
    <row r="59" spans="9:12" x14ac:dyDescent="0.25">
      <c r="I59" s="4">
        <v>930</v>
      </c>
      <c r="J59" s="4">
        <v>1</v>
      </c>
      <c r="K59" s="4">
        <v>2000</v>
      </c>
      <c r="L59" s="6">
        <f t="shared" si="2"/>
        <v>1070</v>
      </c>
    </row>
    <row r="60" spans="9:12" x14ac:dyDescent="0.25">
      <c r="I60" s="4">
        <v>920</v>
      </c>
      <c r="J60" s="4">
        <v>1</v>
      </c>
      <c r="K60" s="4">
        <v>2000</v>
      </c>
      <c r="L60" s="6">
        <f t="shared" si="2"/>
        <v>1080</v>
      </c>
    </row>
    <row r="61" spans="9:12" x14ac:dyDescent="0.25">
      <c r="I61" s="4">
        <v>920</v>
      </c>
      <c r="J61" s="4">
        <v>1</v>
      </c>
      <c r="K61" s="4">
        <v>2000</v>
      </c>
      <c r="L61" s="6">
        <f t="shared" si="2"/>
        <v>1080</v>
      </c>
    </row>
    <row r="62" spans="9:12" x14ac:dyDescent="0.25">
      <c r="I62" s="1">
        <v>590</v>
      </c>
      <c r="J62" s="1">
        <v>1</v>
      </c>
      <c r="K62" s="4">
        <v>2000</v>
      </c>
      <c r="L62" s="6">
        <f t="shared" si="2"/>
        <v>1410</v>
      </c>
    </row>
    <row r="63" spans="9:12" x14ac:dyDescent="0.25">
      <c r="I63" s="13">
        <v>530</v>
      </c>
      <c r="J63" s="13">
        <v>0</v>
      </c>
      <c r="K63" s="13">
        <f>SUM(L52)</f>
        <v>540</v>
      </c>
      <c r="L63" s="12">
        <f t="shared" si="2"/>
        <v>10</v>
      </c>
    </row>
    <row r="64" spans="9:12" x14ac:dyDescent="0.25">
      <c r="I64" s="13">
        <v>400</v>
      </c>
      <c r="J64" s="13">
        <v>0</v>
      </c>
      <c r="K64" s="13">
        <f t="shared" ref="K64:K68" si="5">SUM(L53)</f>
        <v>540</v>
      </c>
      <c r="L64" s="12">
        <f t="shared" si="2"/>
        <v>140</v>
      </c>
    </row>
    <row r="65" spans="3:14" x14ac:dyDescent="0.25">
      <c r="I65" s="13">
        <v>400</v>
      </c>
      <c r="J65" s="13">
        <v>0</v>
      </c>
      <c r="K65" s="13">
        <f t="shared" si="5"/>
        <v>540</v>
      </c>
      <c r="L65" s="12">
        <f t="shared" si="2"/>
        <v>140</v>
      </c>
    </row>
    <row r="66" spans="3:14" x14ac:dyDescent="0.25">
      <c r="I66" s="13">
        <v>400</v>
      </c>
      <c r="J66" s="13">
        <v>0</v>
      </c>
      <c r="K66" s="13">
        <f t="shared" si="5"/>
        <v>540</v>
      </c>
      <c r="L66" s="12">
        <f t="shared" si="2"/>
        <v>140</v>
      </c>
    </row>
    <row r="67" spans="3:14" x14ac:dyDescent="0.25">
      <c r="I67" s="13">
        <v>370</v>
      </c>
      <c r="J67" s="13">
        <v>0</v>
      </c>
      <c r="K67" s="13">
        <f t="shared" si="5"/>
        <v>540</v>
      </c>
      <c r="L67" s="12">
        <f t="shared" ref="L67:L69" si="6">SUM(K67,I67*(-1))</f>
        <v>170</v>
      </c>
    </row>
    <row r="68" spans="3:14" x14ac:dyDescent="0.25">
      <c r="I68" s="13">
        <v>370</v>
      </c>
      <c r="J68" s="13">
        <v>0</v>
      </c>
      <c r="K68" s="13">
        <f t="shared" si="5"/>
        <v>540</v>
      </c>
      <c r="L68" s="12">
        <f t="shared" si="6"/>
        <v>170</v>
      </c>
    </row>
    <row r="69" spans="3:14" x14ac:dyDescent="0.25">
      <c r="I69" s="14">
        <v>370</v>
      </c>
      <c r="J69" s="14">
        <v>0</v>
      </c>
      <c r="K69" s="14">
        <f>SUM(L58)</f>
        <v>1070</v>
      </c>
      <c r="L69" s="11">
        <f t="shared" si="6"/>
        <v>700</v>
      </c>
    </row>
    <row r="72" spans="3:14" x14ac:dyDescent="0.25">
      <c r="I72">
        <v>2000</v>
      </c>
      <c r="J72" s="5">
        <f>SUM(J3:J37,J58:J62)</f>
        <v>40</v>
      </c>
      <c r="K72">
        <v>86</v>
      </c>
      <c r="L72">
        <f>PRODUCT(J72,K72)</f>
        <v>3440</v>
      </c>
      <c r="N72">
        <v>1000</v>
      </c>
    </row>
    <row r="73" spans="3:14" x14ac:dyDescent="0.25">
      <c r="I73">
        <v>3000</v>
      </c>
      <c r="J73" s="5">
        <f>SUM(J38:J51)</f>
        <v>10</v>
      </c>
      <c r="K73">
        <v>125</v>
      </c>
      <c r="L73">
        <f>PRODUCT(J73,K73)</f>
        <v>1250</v>
      </c>
    </row>
    <row r="74" spans="3:14" x14ac:dyDescent="0.25">
      <c r="L74">
        <f>SUM(L72:L73)</f>
        <v>4690</v>
      </c>
    </row>
    <row r="76" spans="3:14" x14ac:dyDescent="0.25">
      <c r="C76" s="24" t="s">
        <v>7</v>
      </c>
      <c r="D76" s="24"/>
      <c r="E76" s="24"/>
      <c r="F76" s="24"/>
      <c r="G76" s="24"/>
      <c r="H76" s="24"/>
    </row>
    <row r="79" spans="3:14" x14ac:dyDescent="0.25">
      <c r="I79" s="1">
        <v>1860</v>
      </c>
      <c r="J79" s="1">
        <v>7</v>
      </c>
      <c r="K79">
        <v>2000</v>
      </c>
      <c r="L79" s="6">
        <f>SUM(K79,I79*(-1))</f>
        <v>140</v>
      </c>
    </row>
    <row r="80" spans="3:14" x14ac:dyDescent="0.25">
      <c r="I80" s="1">
        <v>1320</v>
      </c>
      <c r="J80" s="1">
        <v>7</v>
      </c>
      <c r="K80">
        <v>2000</v>
      </c>
      <c r="L80" s="6">
        <f t="shared" ref="L80:L81" si="7">SUM(K80,I80*(-1))</f>
        <v>680</v>
      </c>
    </row>
    <row r="81" spans="3:14" x14ac:dyDescent="0.25">
      <c r="I81" s="1">
        <v>1960</v>
      </c>
      <c r="J81" s="1">
        <v>11</v>
      </c>
      <c r="K81">
        <v>2000</v>
      </c>
      <c r="L81" s="6">
        <f t="shared" si="7"/>
        <v>40</v>
      </c>
    </row>
    <row r="82" spans="3:14" x14ac:dyDescent="0.25">
      <c r="I82" s="9">
        <v>1500</v>
      </c>
      <c r="J82" s="9">
        <v>1</v>
      </c>
      <c r="K82" s="15">
        <v>2000</v>
      </c>
      <c r="L82" s="10">
        <f t="shared" ref="L82:L84" si="8">SUM(K82,I82*(-1))</f>
        <v>500</v>
      </c>
    </row>
    <row r="83" spans="3:14" x14ac:dyDescent="0.25">
      <c r="I83" s="1">
        <v>1500</v>
      </c>
      <c r="J83" s="1">
        <v>1</v>
      </c>
      <c r="K83">
        <v>2000</v>
      </c>
      <c r="L83" s="6">
        <f t="shared" si="8"/>
        <v>500</v>
      </c>
    </row>
    <row r="84" spans="3:14" x14ac:dyDescent="0.25">
      <c r="I84" s="1">
        <v>1500</v>
      </c>
      <c r="J84" s="1">
        <v>1</v>
      </c>
      <c r="K84">
        <v>2000</v>
      </c>
      <c r="L84" s="6">
        <f t="shared" si="8"/>
        <v>500</v>
      </c>
    </row>
    <row r="85" spans="3:14" x14ac:dyDescent="0.25">
      <c r="I85" s="1"/>
      <c r="J85" s="1"/>
      <c r="L85" s="6"/>
    </row>
    <row r="86" spans="3:14" x14ac:dyDescent="0.25">
      <c r="I86" s="1"/>
      <c r="J86" s="5">
        <f>SUM(J79:J82)</f>
        <v>26</v>
      </c>
      <c r="K86">
        <v>88</v>
      </c>
      <c r="L86">
        <f>PRODUCT(J86,K86)</f>
        <v>2288</v>
      </c>
      <c r="N86">
        <v>800</v>
      </c>
    </row>
    <row r="90" spans="3:14" x14ac:dyDescent="0.25">
      <c r="C90" s="24" t="s">
        <v>9</v>
      </c>
      <c r="D90" s="24"/>
      <c r="E90" s="24"/>
      <c r="F90" s="24"/>
      <c r="G90" s="24"/>
      <c r="H90" s="24"/>
    </row>
    <row r="91" spans="3:14" x14ac:dyDescent="0.25">
      <c r="I91" s="1">
        <v>1600</v>
      </c>
      <c r="J91" s="1">
        <v>2</v>
      </c>
      <c r="K91">
        <v>162</v>
      </c>
      <c r="L91">
        <f>PRODUCT(J91,K91)</f>
        <v>324</v>
      </c>
    </row>
    <row r="93" spans="3:14" x14ac:dyDescent="0.25">
      <c r="C93" s="24" t="s">
        <v>16</v>
      </c>
      <c r="D93" s="24"/>
      <c r="E93" s="24"/>
      <c r="F93" s="24"/>
      <c r="G93" s="24"/>
      <c r="H93" s="24"/>
    </row>
    <row r="94" spans="3:14" x14ac:dyDescent="0.25">
      <c r="G94" s="1"/>
      <c r="H94" s="1"/>
    </row>
    <row r="95" spans="3:14" x14ac:dyDescent="0.25">
      <c r="G95" s="1"/>
      <c r="H95" s="1"/>
      <c r="I95" s="1">
        <v>2000</v>
      </c>
      <c r="J95" s="1">
        <v>2</v>
      </c>
    </row>
    <row r="96" spans="3:14" x14ac:dyDescent="0.25">
      <c r="G96" s="1"/>
      <c r="H96" s="1"/>
      <c r="I96" s="1">
        <v>1600</v>
      </c>
      <c r="J96" s="1">
        <v>4</v>
      </c>
    </row>
    <row r="97" spans="2:12" x14ac:dyDescent="0.25">
      <c r="I97" s="1">
        <v>1800</v>
      </c>
      <c r="J97" s="1">
        <v>8</v>
      </c>
    </row>
    <row r="98" spans="2:12" x14ac:dyDescent="0.25">
      <c r="I98" s="1"/>
      <c r="J98" s="1"/>
    </row>
    <row r="99" spans="2:12" x14ac:dyDescent="0.25">
      <c r="I99" s="1"/>
      <c r="J99" s="1">
        <f>SUM(J95:J97)</f>
        <v>14</v>
      </c>
      <c r="K99">
        <v>43</v>
      </c>
      <c r="L99">
        <f>PRODUCT(J99,K99)</f>
        <v>602</v>
      </c>
    </row>
    <row r="100" spans="2:12" x14ac:dyDescent="0.25">
      <c r="I100" s="1"/>
      <c r="J100" s="1"/>
    </row>
    <row r="101" spans="2:12" x14ac:dyDescent="0.25">
      <c r="B101" s="24" t="s">
        <v>11</v>
      </c>
      <c r="C101" s="24"/>
      <c r="D101" s="24"/>
      <c r="E101" s="24"/>
      <c r="F101" s="24"/>
      <c r="G101" s="24"/>
      <c r="I101" s="1"/>
      <c r="J101" s="1"/>
    </row>
    <row r="102" spans="2:12" x14ac:dyDescent="0.25">
      <c r="I102" s="1">
        <v>1900</v>
      </c>
      <c r="J102" s="1">
        <v>40</v>
      </c>
    </row>
    <row r="103" spans="2:12" x14ac:dyDescent="0.25">
      <c r="I103" s="1"/>
      <c r="J103" s="1"/>
    </row>
    <row r="104" spans="2:12" x14ac:dyDescent="0.25">
      <c r="I104" s="1"/>
      <c r="J104" s="1">
        <v>4</v>
      </c>
      <c r="K104">
        <v>320</v>
      </c>
      <c r="L104">
        <f>PRODUCT(J104,K104)</f>
        <v>1280</v>
      </c>
    </row>
    <row r="105" spans="2:12" x14ac:dyDescent="0.25">
      <c r="I105" s="1"/>
      <c r="J105" s="1"/>
    </row>
    <row r="106" spans="2:12" x14ac:dyDescent="0.25">
      <c r="I106" s="1"/>
      <c r="J106" s="1"/>
    </row>
    <row r="107" spans="2:12" x14ac:dyDescent="0.25">
      <c r="I107" s="1"/>
      <c r="J107" s="1"/>
    </row>
    <row r="108" spans="2:12" x14ac:dyDescent="0.25">
      <c r="I108" s="1"/>
      <c r="J108" s="1"/>
    </row>
    <row r="109" spans="2:12" x14ac:dyDescent="0.25">
      <c r="B109" s="24" t="s">
        <v>17</v>
      </c>
      <c r="C109" s="24"/>
      <c r="D109" s="24"/>
      <c r="E109" s="24"/>
      <c r="F109" s="24"/>
      <c r="G109" s="24"/>
      <c r="I109" s="1"/>
      <c r="J109" s="1"/>
    </row>
    <row r="110" spans="2:12" x14ac:dyDescent="0.25">
      <c r="I110" s="1"/>
      <c r="J110" s="1">
        <v>4</v>
      </c>
      <c r="K110">
        <v>440</v>
      </c>
      <c r="L110">
        <f>PRODUCT(J110,K110)</f>
        <v>1760</v>
      </c>
    </row>
    <row r="111" spans="2:12" x14ac:dyDescent="0.25">
      <c r="I111" s="1"/>
      <c r="J111" s="1"/>
    </row>
    <row r="112" spans="2:12" x14ac:dyDescent="0.25">
      <c r="I112" s="1"/>
      <c r="J112" s="1"/>
    </row>
    <row r="113" spans="9:12" x14ac:dyDescent="0.25">
      <c r="I113" s="1"/>
      <c r="J113" s="1"/>
    </row>
    <row r="114" spans="9:12" x14ac:dyDescent="0.25">
      <c r="I114" s="1"/>
      <c r="J114" s="1"/>
    </row>
    <row r="115" spans="9:12" x14ac:dyDescent="0.25">
      <c r="I115" s="1"/>
      <c r="J115" s="1"/>
    </row>
    <row r="116" spans="9:12" x14ac:dyDescent="0.25">
      <c r="I116" s="1"/>
      <c r="J116" s="1"/>
    </row>
    <row r="118" spans="9:12" x14ac:dyDescent="0.25">
      <c r="L118" t="s">
        <v>14</v>
      </c>
    </row>
    <row r="119" spans="9:12" x14ac:dyDescent="0.25">
      <c r="L119" s="1">
        <f>SUM(L110,L104,L99,L91,L86,L74)</f>
        <v>10944</v>
      </c>
    </row>
    <row r="130" spans="2:7" x14ac:dyDescent="0.25">
      <c r="B130" s="24"/>
      <c r="C130" s="24"/>
      <c r="D130" s="24"/>
      <c r="E130" s="24"/>
      <c r="F130" s="24"/>
      <c r="G130" s="24"/>
    </row>
  </sheetData>
  <sortState ref="B3:E28">
    <sortCondition descending="1" ref="B3"/>
  </sortState>
  <mergeCells count="7">
    <mergeCell ref="B1:G1"/>
    <mergeCell ref="C76:H76"/>
    <mergeCell ref="C90:H90"/>
    <mergeCell ref="C93:H93"/>
    <mergeCell ref="B130:G130"/>
    <mergeCell ref="B101:G101"/>
    <mergeCell ref="B109:G10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N47"/>
  <sheetViews>
    <sheetView topLeftCell="A13" workbookViewId="0">
      <selection activeCell="I51" sqref="I51"/>
    </sheetView>
  </sheetViews>
  <sheetFormatPr defaultRowHeight="15" x14ac:dyDescent="0.25"/>
  <sheetData>
    <row r="2" spans="4:7" x14ac:dyDescent="0.25">
      <c r="D2" s="24" t="s">
        <v>1</v>
      </c>
      <c r="E2" s="24"/>
    </row>
    <row r="4" spans="4:7" x14ac:dyDescent="0.25">
      <c r="D4" s="1">
        <v>2000</v>
      </c>
      <c r="E4" s="1">
        <v>1</v>
      </c>
      <c r="F4">
        <v>2000</v>
      </c>
      <c r="G4">
        <f>SUM(F4,D4*(-1))</f>
        <v>0</v>
      </c>
    </row>
    <row r="5" spans="4:7" x14ac:dyDescent="0.25">
      <c r="D5" s="1">
        <v>1960</v>
      </c>
      <c r="E5" s="1">
        <v>2</v>
      </c>
      <c r="F5">
        <v>2000</v>
      </c>
      <c r="G5">
        <f t="shared" ref="G5:G21" si="0">SUM(F5,D5*(-1))</f>
        <v>40</v>
      </c>
    </row>
    <row r="6" spans="4:7" x14ac:dyDescent="0.25">
      <c r="D6" s="1">
        <v>1960</v>
      </c>
      <c r="E6" s="1">
        <v>1</v>
      </c>
      <c r="F6">
        <v>2000</v>
      </c>
      <c r="G6">
        <f t="shared" si="0"/>
        <v>40</v>
      </c>
    </row>
    <row r="7" spans="4:7" x14ac:dyDescent="0.25">
      <c r="D7" s="1">
        <v>1900</v>
      </c>
      <c r="E7" s="1">
        <v>4</v>
      </c>
      <c r="F7">
        <v>2000</v>
      </c>
      <c r="G7">
        <f t="shared" si="0"/>
        <v>100</v>
      </c>
    </row>
    <row r="8" spans="4:7" x14ac:dyDescent="0.25">
      <c r="D8" s="1">
        <v>1900</v>
      </c>
      <c r="E8" s="1">
        <v>1</v>
      </c>
      <c r="F8">
        <v>2000</v>
      </c>
      <c r="G8">
        <f t="shared" si="0"/>
        <v>100</v>
      </c>
    </row>
    <row r="9" spans="4:7" x14ac:dyDescent="0.25">
      <c r="D9" s="1">
        <v>1900</v>
      </c>
      <c r="E9" s="1">
        <v>5</v>
      </c>
      <c r="F9">
        <v>2000</v>
      </c>
      <c r="G9">
        <f t="shared" si="0"/>
        <v>100</v>
      </c>
    </row>
    <row r="10" spans="4:7" x14ac:dyDescent="0.25">
      <c r="D10" s="1">
        <v>1860</v>
      </c>
      <c r="E10" s="1">
        <v>2</v>
      </c>
      <c r="F10">
        <v>2000</v>
      </c>
      <c r="G10">
        <f t="shared" si="0"/>
        <v>140</v>
      </c>
    </row>
    <row r="11" spans="4:7" x14ac:dyDescent="0.25">
      <c r="D11" s="1">
        <v>1850</v>
      </c>
      <c r="E11" s="1">
        <v>7</v>
      </c>
      <c r="F11">
        <v>2000</v>
      </c>
      <c r="G11">
        <f t="shared" si="0"/>
        <v>150</v>
      </c>
    </row>
    <row r="12" spans="4:7" x14ac:dyDescent="0.25">
      <c r="D12" s="1">
        <v>1800</v>
      </c>
      <c r="E12" s="1">
        <v>2</v>
      </c>
      <c r="F12">
        <v>2000</v>
      </c>
      <c r="G12">
        <f t="shared" si="0"/>
        <v>200</v>
      </c>
    </row>
    <row r="13" spans="4:7" x14ac:dyDescent="0.25">
      <c r="D13" s="9">
        <v>1230</v>
      </c>
      <c r="E13" s="9">
        <v>1</v>
      </c>
      <c r="F13" s="15">
        <v>3000</v>
      </c>
      <c r="G13" s="15">
        <f t="shared" si="0"/>
        <v>1770</v>
      </c>
    </row>
    <row r="14" spans="4:7" x14ac:dyDescent="0.25">
      <c r="D14" s="9">
        <v>1230</v>
      </c>
      <c r="E14" s="9">
        <v>1</v>
      </c>
      <c r="F14" s="15">
        <v>3000</v>
      </c>
      <c r="G14" s="15">
        <f t="shared" si="0"/>
        <v>1770</v>
      </c>
    </row>
    <row r="15" spans="4:7" x14ac:dyDescent="0.25">
      <c r="D15" s="9">
        <v>1230</v>
      </c>
      <c r="E15" s="9">
        <v>1</v>
      </c>
      <c r="F15" s="15">
        <v>3000</v>
      </c>
      <c r="G15" s="15">
        <f t="shared" si="0"/>
        <v>1770</v>
      </c>
    </row>
    <row r="16" spans="4:7" x14ac:dyDescent="0.25">
      <c r="D16" s="1">
        <v>1230</v>
      </c>
      <c r="E16" s="1">
        <v>0</v>
      </c>
      <c r="F16">
        <f>SUM(G13)</f>
        <v>1770</v>
      </c>
      <c r="G16">
        <f t="shared" si="0"/>
        <v>540</v>
      </c>
    </row>
    <row r="17" spans="1:14" x14ac:dyDescent="0.25">
      <c r="D17" s="1">
        <v>1230</v>
      </c>
      <c r="E17" s="1">
        <v>0</v>
      </c>
      <c r="F17">
        <f t="shared" ref="F17:F18" si="1">SUM(G14)</f>
        <v>1770</v>
      </c>
      <c r="G17">
        <f t="shared" si="0"/>
        <v>540</v>
      </c>
    </row>
    <row r="18" spans="1:14" x14ac:dyDescent="0.25">
      <c r="D18" s="1">
        <v>1230</v>
      </c>
      <c r="E18" s="1">
        <v>0</v>
      </c>
      <c r="F18">
        <f t="shared" si="1"/>
        <v>1770</v>
      </c>
      <c r="G18">
        <f t="shared" si="0"/>
        <v>540</v>
      </c>
    </row>
    <row r="19" spans="1:14" x14ac:dyDescent="0.25">
      <c r="D19" s="9">
        <v>930</v>
      </c>
      <c r="E19" s="9">
        <v>2</v>
      </c>
      <c r="F19" s="15">
        <v>2000</v>
      </c>
      <c r="G19" s="15">
        <f t="shared" si="0"/>
        <v>1070</v>
      </c>
    </row>
    <row r="20" spans="1:14" x14ac:dyDescent="0.25">
      <c r="D20" s="3">
        <v>920</v>
      </c>
      <c r="E20" s="3">
        <v>0</v>
      </c>
      <c r="F20">
        <f>SUM(G19)</f>
        <v>1070</v>
      </c>
      <c r="G20">
        <f t="shared" si="0"/>
        <v>150</v>
      </c>
    </row>
    <row r="21" spans="1:14" x14ac:dyDescent="0.25">
      <c r="D21" s="3">
        <v>530</v>
      </c>
      <c r="E21" s="3">
        <v>1</v>
      </c>
      <c r="F21">
        <f>SUM(G16)</f>
        <v>540</v>
      </c>
      <c r="G21">
        <f t="shared" si="0"/>
        <v>10</v>
      </c>
    </row>
    <row r="23" spans="1:14" x14ac:dyDescent="0.25">
      <c r="A23" s="5"/>
      <c r="B23" s="5"/>
      <c r="C23" s="5"/>
      <c r="D23" s="5"/>
      <c r="E23" s="5">
        <v>29</v>
      </c>
      <c r="F23" s="5">
        <v>86</v>
      </c>
      <c r="G23" s="5">
        <f>PRODUCT(E23,F23)</f>
        <v>2494</v>
      </c>
      <c r="H23" s="5"/>
      <c r="I23" s="5"/>
      <c r="J23" s="5"/>
      <c r="K23" s="5"/>
      <c r="L23" s="5"/>
      <c r="M23" s="5"/>
      <c r="N23" s="5"/>
    </row>
    <row r="24" spans="1:14" x14ac:dyDescent="0.25">
      <c r="A24" s="5"/>
      <c r="B24" s="5"/>
      <c r="C24" s="5"/>
      <c r="D24" s="5"/>
      <c r="E24" s="5">
        <v>3</v>
      </c>
      <c r="F24">
        <v>125</v>
      </c>
      <c r="G24" s="5">
        <f>PRODUCT(E24,F24)</f>
        <v>375</v>
      </c>
      <c r="H24" s="5"/>
      <c r="I24" s="5"/>
      <c r="J24" s="5"/>
      <c r="K24" s="5"/>
      <c r="L24" s="5"/>
      <c r="M24" s="5"/>
      <c r="N24" s="5"/>
    </row>
    <row r="25" spans="1:14" x14ac:dyDescent="0.25">
      <c r="A25" s="5"/>
      <c r="B25" s="5"/>
      <c r="C25" s="5"/>
      <c r="D25" s="5"/>
      <c r="E25" s="5"/>
      <c r="G25" s="5"/>
      <c r="H25" s="5"/>
      <c r="I25" s="5"/>
      <c r="J25" s="5"/>
      <c r="K25" s="5"/>
      <c r="L25" s="5"/>
      <c r="M25" s="5"/>
      <c r="N25" s="5"/>
    </row>
    <row r="26" spans="1:14" x14ac:dyDescent="0.25">
      <c r="A26" s="5"/>
      <c r="B26" s="5"/>
      <c r="C26" s="5"/>
      <c r="D26" s="5"/>
      <c r="E26" s="5"/>
      <c r="G26" s="5"/>
      <c r="H26" s="5"/>
      <c r="I26" s="5"/>
      <c r="J26" s="5"/>
      <c r="K26" s="5"/>
      <c r="L26" s="5"/>
      <c r="M26" s="5"/>
      <c r="N26" s="5"/>
    </row>
    <row r="27" spans="1:14" x14ac:dyDescent="0.25">
      <c r="A27" s="24" t="s">
        <v>7</v>
      </c>
      <c r="B27" s="24"/>
      <c r="C27" s="24"/>
      <c r="D27" s="24"/>
      <c r="E27" s="24"/>
      <c r="F27" s="24"/>
      <c r="G27" s="5"/>
      <c r="H27" s="5"/>
      <c r="I27" s="5"/>
      <c r="J27" s="5"/>
      <c r="K27" s="5"/>
      <c r="L27" s="5"/>
      <c r="M27" s="5"/>
      <c r="N27" s="5"/>
    </row>
    <row r="28" spans="1:14" x14ac:dyDescent="0.25">
      <c r="A28" s="1"/>
      <c r="B28" s="1"/>
      <c r="C28" s="1"/>
      <c r="D28" s="1"/>
      <c r="E28" s="1"/>
      <c r="F28" s="1"/>
      <c r="G28" s="5"/>
      <c r="H28" s="5"/>
      <c r="I28" s="5"/>
      <c r="J28" s="5"/>
      <c r="K28" s="5"/>
      <c r="L28" s="5"/>
      <c r="M28" s="5"/>
      <c r="N28" s="5"/>
    </row>
    <row r="29" spans="1:14" x14ac:dyDescent="0.25">
      <c r="A29" s="5"/>
      <c r="B29" s="5"/>
      <c r="C29" s="5"/>
      <c r="D29" s="1">
        <v>1860</v>
      </c>
      <c r="E29" s="1">
        <v>7</v>
      </c>
      <c r="F29" s="1"/>
      <c r="G29" s="5"/>
      <c r="H29" s="5"/>
      <c r="I29" s="5"/>
      <c r="J29" s="5"/>
      <c r="K29" s="5"/>
      <c r="L29" s="5"/>
      <c r="M29" s="5"/>
      <c r="N29" s="5"/>
    </row>
    <row r="30" spans="1:14" x14ac:dyDescent="0.25">
      <c r="A30" s="5"/>
      <c r="B30" s="5"/>
      <c r="C30" s="5"/>
      <c r="D30" s="1">
        <v>1320</v>
      </c>
      <c r="E30" s="1">
        <v>7</v>
      </c>
      <c r="F30" s="1"/>
      <c r="G30" s="5"/>
      <c r="H30" s="5"/>
      <c r="I30" s="5"/>
      <c r="J30" s="5"/>
      <c r="K30" s="5"/>
      <c r="L30" s="5"/>
      <c r="M30" s="5"/>
      <c r="N30" s="5"/>
    </row>
    <row r="31" spans="1:14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</row>
    <row r="32" spans="1:14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1:14" x14ac:dyDescent="0.25">
      <c r="A33" s="5"/>
      <c r="B33" s="5"/>
      <c r="C33" s="5"/>
      <c r="D33" s="5"/>
      <c r="E33" s="5">
        <f>SUM(E29:E32)</f>
        <v>14</v>
      </c>
      <c r="F33" s="5">
        <v>88</v>
      </c>
      <c r="G33" s="5">
        <f>PRODUCT(E33,F33)</f>
        <v>1232</v>
      </c>
      <c r="H33" s="5"/>
      <c r="I33" s="5"/>
      <c r="J33" s="5"/>
      <c r="K33" s="5"/>
      <c r="L33" s="5"/>
      <c r="M33" s="5"/>
      <c r="N33" s="5"/>
    </row>
    <row r="34" spans="1:14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B35" s="24" t="s">
        <v>11</v>
      </c>
      <c r="C35" s="24"/>
      <c r="D35" s="24"/>
      <c r="E35" s="24"/>
      <c r="F35" s="24"/>
      <c r="G35" s="24"/>
      <c r="I35" s="1"/>
      <c r="J35" s="1"/>
      <c r="M35" s="5"/>
      <c r="N35" s="5"/>
    </row>
    <row r="36" spans="1:14" x14ac:dyDescent="0.25">
      <c r="M36" s="5"/>
      <c r="N36" s="5"/>
    </row>
    <row r="37" spans="1:14" x14ac:dyDescent="0.25">
      <c r="D37" s="1">
        <v>1900</v>
      </c>
      <c r="E37" s="1">
        <v>40</v>
      </c>
      <c r="I37" s="1"/>
      <c r="J37" s="1"/>
    </row>
    <row r="38" spans="1:14" x14ac:dyDescent="0.25">
      <c r="E38" s="1">
        <v>4</v>
      </c>
      <c r="F38">
        <v>320</v>
      </c>
      <c r="G38">
        <f>PRODUCT(E38,F38)</f>
        <v>1280</v>
      </c>
      <c r="I38" s="1"/>
    </row>
    <row r="41" spans="1:14" x14ac:dyDescent="0.25">
      <c r="B41" s="24" t="s">
        <v>17</v>
      </c>
      <c r="C41" s="24"/>
      <c r="D41" s="24"/>
      <c r="E41" s="24"/>
      <c r="F41" s="24"/>
      <c r="G41" s="24"/>
    </row>
    <row r="43" spans="1:14" x14ac:dyDescent="0.25">
      <c r="E43" s="1">
        <v>2</v>
      </c>
      <c r="F43">
        <v>440</v>
      </c>
      <c r="G43">
        <f>PRODUCT(E43,F43)</f>
        <v>880</v>
      </c>
    </row>
    <row r="46" spans="1:14" x14ac:dyDescent="0.25">
      <c r="G46" t="s">
        <v>14</v>
      </c>
    </row>
    <row r="47" spans="1:14" x14ac:dyDescent="0.25">
      <c r="G47">
        <f>SUM(G38:G46,G33,G24,G23)</f>
        <v>6261</v>
      </c>
    </row>
  </sheetData>
  <sortState ref="D4:E21">
    <sortCondition descending="1" ref="D4"/>
  </sortState>
  <mergeCells count="4">
    <mergeCell ref="D2:E2"/>
    <mergeCell ref="A27:F27"/>
    <mergeCell ref="B35:G35"/>
    <mergeCell ref="B41:G4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4:M48"/>
  <sheetViews>
    <sheetView topLeftCell="A10" workbookViewId="0">
      <selection activeCell="B33" sqref="B33:H44"/>
    </sheetView>
  </sheetViews>
  <sheetFormatPr defaultRowHeight="15" x14ac:dyDescent="0.25"/>
  <cols>
    <col min="2" max="2" width="48.28515625" bestFit="1" customWidth="1"/>
    <col min="3" max="3" width="29" bestFit="1" customWidth="1"/>
    <col min="4" max="4" width="81.140625" customWidth="1"/>
    <col min="5" max="6" width="29.140625" customWidth="1"/>
    <col min="7" max="7" width="27.140625" customWidth="1"/>
    <col min="8" max="8" width="8.7109375" style="5" bestFit="1" customWidth="1"/>
  </cols>
  <sheetData>
    <row r="4" spans="2:13" x14ac:dyDescent="0.25">
      <c r="B4" s="17" t="s">
        <v>18</v>
      </c>
      <c r="C4" t="s">
        <v>19</v>
      </c>
      <c r="D4" t="s">
        <v>20</v>
      </c>
      <c r="E4" s="5" t="s">
        <v>21</v>
      </c>
      <c r="F4" s="5" t="s">
        <v>22</v>
      </c>
      <c r="G4" s="5" t="s">
        <v>23</v>
      </c>
      <c r="H4" s="5" t="s">
        <v>24</v>
      </c>
    </row>
    <row r="5" spans="2:13" x14ac:dyDescent="0.25">
      <c r="B5" s="18" t="s">
        <v>61</v>
      </c>
      <c r="C5" s="18" t="s">
        <v>61</v>
      </c>
      <c r="D5" s="18" t="s">
        <v>61</v>
      </c>
      <c r="E5" s="6">
        <v>3682</v>
      </c>
      <c r="F5" s="6">
        <v>1196</v>
      </c>
      <c r="G5" s="6">
        <v>447</v>
      </c>
      <c r="H5" s="6">
        <v>2</v>
      </c>
      <c r="K5" s="16"/>
      <c r="L5" s="16"/>
      <c r="M5" s="16"/>
    </row>
    <row r="6" spans="2:13" x14ac:dyDescent="0.25">
      <c r="B6" s="18" t="s">
        <v>25</v>
      </c>
      <c r="C6" s="18" t="s">
        <v>26</v>
      </c>
      <c r="D6" s="18" t="s">
        <v>27</v>
      </c>
      <c r="E6" s="4">
        <v>940</v>
      </c>
      <c r="F6" s="4">
        <v>40</v>
      </c>
      <c r="G6" s="4">
        <v>40</v>
      </c>
      <c r="H6" s="6">
        <v>12</v>
      </c>
    </row>
    <row r="7" spans="2:13" x14ac:dyDescent="0.25">
      <c r="B7" s="18" t="s">
        <v>28</v>
      </c>
      <c r="C7" s="18" t="s">
        <v>8</v>
      </c>
      <c r="D7" s="18" t="s">
        <v>28</v>
      </c>
      <c r="E7" s="6">
        <v>404</v>
      </c>
      <c r="F7" s="6">
        <v>40</v>
      </c>
      <c r="G7" s="6">
        <v>40</v>
      </c>
      <c r="H7" s="6">
        <v>4</v>
      </c>
      <c r="K7" s="16"/>
      <c r="L7" s="16"/>
      <c r="M7" s="16"/>
    </row>
    <row r="8" spans="2:13" x14ac:dyDescent="0.25">
      <c r="B8" s="18" t="s">
        <v>75</v>
      </c>
      <c r="C8" s="18" t="s">
        <v>8</v>
      </c>
      <c r="D8" s="18" t="s">
        <v>75</v>
      </c>
      <c r="E8" s="4">
        <v>424</v>
      </c>
      <c r="F8" s="4">
        <v>40</v>
      </c>
      <c r="G8" s="4">
        <v>40</v>
      </c>
      <c r="H8" s="6">
        <v>1</v>
      </c>
      <c r="K8" s="16"/>
      <c r="L8" s="16"/>
      <c r="M8" s="16"/>
    </row>
    <row r="9" spans="2:13" x14ac:dyDescent="0.25">
      <c r="B9" s="18" t="s">
        <v>76</v>
      </c>
      <c r="C9" s="18" t="s">
        <v>8</v>
      </c>
      <c r="D9" s="18" t="s">
        <v>76</v>
      </c>
      <c r="E9" s="4">
        <v>424</v>
      </c>
      <c r="F9" s="4">
        <v>40</v>
      </c>
      <c r="G9" s="4">
        <v>40</v>
      </c>
      <c r="H9" s="6">
        <v>1</v>
      </c>
      <c r="K9" s="16"/>
      <c r="L9" s="16"/>
      <c r="M9" s="16"/>
    </row>
    <row r="10" spans="2:13" x14ac:dyDescent="0.25">
      <c r="B10" s="18" t="s">
        <v>29</v>
      </c>
      <c r="C10" s="18" t="s">
        <v>0</v>
      </c>
      <c r="D10" s="18" t="s">
        <v>29</v>
      </c>
      <c r="E10" s="4">
        <v>1940</v>
      </c>
      <c r="F10" s="4">
        <v>40</v>
      </c>
      <c r="G10" s="4">
        <v>40</v>
      </c>
      <c r="H10" s="6">
        <v>11</v>
      </c>
      <c r="K10" s="16"/>
      <c r="L10" s="16"/>
      <c r="M10" s="16"/>
    </row>
    <row r="11" spans="2:13" x14ac:dyDescent="0.25">
      <c r="B11" s="18" t="s">
        <v>30</v>
      </c>
      <c r="C11" s="18" t="s">
        <v>8</v>
      </c>
      <c r="D11" s="18" t="s">
        <v>30</v>
      </c>
      <c r="E11" s="4">
        <v>887</v>
      </c>
      <c r="F11" s="4">
        <v>40</v>
      </c>
      <c r="G11" s="4">
        <v>40</v>
      </c>
      <c r="H11" s="6">
        <v>2</v>
      </c>
      <c r="K11" s="16"/>
      <c r="L11" s="16"/>
      <c r="M11" s="16"/>
    </row>
    <row r="12" spans="2:13" x14ac:dyDescent="0.25">
      <c r="B12" s="18" t="s">
        <v>77</v>
      </c>
      <c r="C12" s="18" t="s">
        <v>8</v>
      </c>
      <c r="D12" s="18" t="s">
        <v>77</v>
      </c>
      <c r="E12" s="4">
        <v>907</v>
      </c>
      <c r="F12" s="4">
        <v>40</v>
      </c>
      <c r="G12" s="4">
        <v>40</v>
      </c>
      <c r="H12" s="6">
        <v>1</v>
      </c>
      <c r="K12" s="16"/>
      <c r="L12" s="16"/>
      <c r="M12" s="16"/>
    </row>
    <row r="13" spans="2:13" x14ac:dyDescent="0.25">
      <c r="B13" s="18" t="s">
        <v>31</v>
      </c>
      <c r="C13" s="18" t="s">
        <v>32</v>
      </c>
      <c r="D13" s="18" t="s">
        <v>33</v>
      </c>
      <c r="E13" s="4">
        <v>1956</v>
      </c>
      <c r="F13" s="4">
        <v>40</v>
      </c>
      <c r="G13" s="4">
        <v>40</v>
      </c>
      <c r="H13" s="6">
        <v>3</v>
      </c>
      <c r="K13" s="16"/>
      <c r="L13" s="16"/>
      <c r="M13" s="16"/>
    </row>
    <row r="14" spans="2:13" x14ac:dyDescent="0.25">
      <c r="B14" s="18" t="s">
        <v>34</v>
      </c>
      <c r="C14" s="18" t="s">
        <v>0</v>
      </c>
      <c r="D14" s="18" t="s">
        <v>34</v>
      </c>
      <c r="E14" s="4">
        <v>1876</v>
      </c>
      <c r="F14" s="4">
        <v>40</v>
      </c>
      <c r="G14" s="4">
        <v>40</v>
      </c>
      <c r="H14" s="6">
        <v>1</v>
      </c>
      <c r="K14" s="16"/>
      <c r="L14" s="16"/>
      <c r="M14" s="16"/>
    </row>
    <row r="15" spans="2:13" x14ac:dyDescent="0.25">
      <c r="B15" s="18" t="s">
        <v>35</v>
      </c>
      <c r="C15" s="18" t="s">
        <v>13</v>
      </c>
      <c r="D15" s="18" t="s">
        <v>35</v>
      </c>
      <c r="E15" s="4">
        <v>1170</v>
      </c>
      <c r="F15" s="4">
        <v>444</v>
      </c>
      <c r="G15" s="4">
        <v>40</v>
      </c>
      <c r="H15" s="6">
        <v>12</v>
      </c>
      <c r="K15" s="16"/>
      <c r="L15" s="16"/>
      <c r="M15" s="16"/>
    </row>
    <row r="16" spans="2:13" x14ac:dyDescent="0.25">
      <c r="B16" s="18" t="s">
        <v>36</v>
      </c>
      <c r="C16" s="18" t="s">
        <v>13</v>
      </c>
      <c r="D16" s="18" t="s">
        <v>36</v>
      </c>
      <c r="E16" s="4">
        <v>300</v>
      </c>
      <c r="F16" s="4">
        <v>40</v>
      </c>
      <c r="G16" s="4">
        <v>40</v>
      </c>
      <c r="H16" s="6">
        <v>4</v>
      </c>
      <c r="K16" s="16"/>
      <c r="L16" s="16"/>
      <c r="M16" s="16"/>
    </row>
    <row r="17" spans="2:13" x14ac:dyDescent="0.25">
      <c r="B17" s="18" t="s">
        <v>37</v>
      </c>
      <c r="C17" s="18" t="s">
        <v>13</v>
      </c>
      <c r="D17" s="18" t="s">
        <v>37</v>
      </c>
      <c r="E17" s="4">
        <v>2000</v>
      </c>
      <c r="F17" s="4">
        <v>40</v>
      </c>
      <c r="G17" s="4">
        <v>40</v>
      </c>
      <c r="H17" s="6">
        <v>1</v>
      </c>
      <c r="K17" s="16"/>
      <c r="L17" s="16"/>
      <c r="M17" s="16"/>
    </row>
    <row r="18" spans="2:13" x14ac:dyDescent="0.25">
      <c r="B18" s="18" t="s">
        <v>72</v>
      </c>
      <c r="C18" s="18" t="s">
        <v>13</v>
      </c>
      <c r="D18" s="18" t="s">
        <v>72</v>
      </c>
      <c r="E18" s="4">
        <v>1600</v>
      </c>
      <c r="F18" s="4">
        <v>40</v>
      </c>
      <c r="G18" s="4">
        <v>40</v>
      </c>
      <c r="H18" s="6">
        <v>1</v>
      </c>
      <c r="K18" s="16"/>
      <c r="L18" s="16"/>
      <c r="M18" s="16"/>
    </row>
    <row r="19" spans="2:13" x14ac:dyDescent="0.25">
      <c r="B19" s="18" t="s">
        <v>71</v>
      </c>
      <c r="C19" s="18" t="s">
        <v>0</v>
      </c>
      <c r="D19" s="18" t="s">
        <v>78</v>
      </c>
      <c r="E19" s="4">
        <v>1956</v>
      </c>
      <c r="F19" s="4">
        <v>40</v>
      </c>
      <c r="G19" s="4">
        <v>40</v>
      </c>
      <c r="H19" s="6">
        <v>2</v>
      </c>
      <c r="K19" s="16"/>
      <c r="L19" s="16"/>
      <c r="M19" s="16"/>
    </row>
    <row r="20" spans="2:13" x14ac:dyDescent="0.25">
      <c r="B20" s="18" t="s">
        <v>43</v>
      </c>
      <c r="C20" s="18" t="s">
        <v>0</v>
      </c>
      <c r="D20" s="18" t="s">
        <v>43</v>
      </c>
      <c r="E20" s="4">
        <v>1876</v>
      </c>
      <c r="F20" s="4">
        <v>40</v>
      </c>
      <c r="G20" s="4">
        <v>40</v>
      </c>
      <c r="H20" s="6">
        <v>2</v>
      </c>
      <c r="K20" s="16"/>
      <c r="L20" s="16"/>
      <c r="M20" s="16"/>
    </row>
    <row r="21" spans="2:13" x14ac:dyDescent="0.25">
      <c r="B21" s="18" t="s">
        <v>44</v>
      </c>
      <c r="C21" s="18" t="s">
        <v>45</v>
      </c>
      <c r="D21" s="18" t="s">
        <v>46</v>
      </c>
      <c r="E21" s="4">
        <v>1520</v>
      </c>
      <c r="F21" s="4">
        <v>40</v>
      </c>
      <c r="G21" s="4">
        <v>40</v>
      </c>
      <c r="H21" s="6">
        <v>6</v>
      </c>
      <c r="K21" s="16"/>
      <c r="L21" s="16"/>
      <c r="M21" s="16"/>
    </row>
    <row r="22" spans="2:13" x14ac:dyDescent="0.25">
      <c r="B22" s="18" t="s">
        <v>48</v>
      </c>
      <c r="C22" s="18" t="s">
        <v>8</v>
      </c>
      <c r="D22" s="18" t="s">
        <v>48</v>
      </c>
      <c r="E22" s="4">
        <v>351</v>
      </c>
      <c r="F22" s="4">
        <v>40</v>
      </c>
      <c r="G22" s="4">
        <v>40</v>
      </c>
      <c r="H22" s="6">
        <v>3</v>
      </c>
      <c r="K22" s="16"/>
      <c r="L22" s="16"/>
      <c r="M22" s="16"/>
    </row>
    <row r="23" spans="2:13" x14ac:dyDescent="0.25">
      <c r="B23" s="18" t="s">
        <v>49</v>
      </c>
      <c r="C23" s="18" t="s">
        <v>8</v>
      </c>
      <c r="D23" s="18" t="s">
        <v>49</v>
      </c>
      <c r="E23" s="4">
        <v>350</v>
      </c>
      <c r="F23" s="4">
        <v>40</v>
      </c>
      <c r="G23" s="4">
        <v>40</v>
      </c>
      <c r="H23" s="6">
        <v>5</v>
      </c>
      <c r="K23" s="16"/>
      <c r="L23" s="16"/>
      <c r="M23" s="16"/>
    </row>
    <row r="24" spans="2:13" x14ac:dyDescent="0.25">
      <c r="B24" s="18" t="s">
        <v>50</v>
      </c>
      <c r="C24" s="18" t="s">
        <v>8</v>
      </c>
      <c r="D24" s="18" t="s">
        <v>50</v>
      </c>
      <c r="E24" s="4">
        <v>389</v>
      </c>
      <c r="F24" s="4">
        <v>40</v>
      </c>
      <c r="G24" s="4">
        <v>40</v>
      </c>
      <c r="H24" s="6">
        <v>1</v>
      </c>
      <c r="K24" s="16"/>
      <c r="L24" s="16"/>
      <c r="M24" s="16"/>
    </row>
    <row r="25" spans="2:13" x14ac:dyDescent="0.25">
      <c r="B25" s="18" t="s">
        <v>51</v>
      </c>
      <c r="C25" s="18" t="s">
        <v>0</v>
      </c>
      <c r="D25" s="18" t="s">
        <v>51</v>
      </c>
      <c r="E25" s="4">
        <v>918</v>
      </c>
      <c r="F25" s="4">
        <v>40</v>
      </c>
      <c r="G25" s="4">
        <v>40</v>
      </c>
      <c r="H25" s="6">
        <v>2</v>
      </c>
      <c r="K25" s="16"/>
      <c r="L25" s="16"/>
      <c r="M25" s="16"/>
    </row>
    <row r="26" spans="2:13" x14ac:dyDescent="0.25">
      <c r="B26" s="18" t="s">
        <v>52</v>
      </c>
      <c r="C26" s="18" t="s">
        <v>0</v>
      </c>
      <c r="D26" s="18" t="s">
        <v>52</v>
      </c>
      <c r="E26" s="4">
        <v>1900</v>
      </c>
      <c r="F26" s="4">
        <v>40</v>
      </c>
      <c r="G26" s="4">
        <v>40</v>
      </c>
      <c r="H26" s="6">
        <v>5</v>
      </c>
      <c r="K26" s="16"/>
      <c r="L26" s="16"/>
      <c r="M26" s="16"/>
    </row>
    <row r="27" spans="2:13" x14ac:dyDescent="0.25">
      <c r="B27" s="18" t="s">
        <v>55</v>
      </c>
      <c r="C27" s="18" t="s">
        <v>56</v>
      </c>
      <c r="D27" s="18" t="s">
        <v>55</v>
      </c>
      <c r="E27" s="4">
        <v>1900</v>
      </c>
      <c r="F27" s="4">
        <v>40</v>
      </c>
      <c r="G27" s="4">
        <v>22</v>
      </c>
      <c r="H27" s="6">
        <v>19</v>
      </c>
      <c r="K27" s="16"/>
      <c r="L27" s="16"/>
      <c r="M27" s="16"/>
    </row>
    <row r="28" spans="2:13" x14ac:dyDescent="0.25">
      <c r="B28" s="18" t="s">
        <v>64</v>
      </c>
      <c r="C28" s="18" t="s">
        <v>56</v>
      </c>
      <c r="D28" s="18" t="s">
        <v>64</v>
      </c>
      <c r="E28" s="6">
        <v>1600</v>
      </c>
      <c r="F28" s="6">
        <v>40</v>
      </c>
      <c r="G28" s="6">
        <v>22</v>
      </c>
      <c r="H28" s="6">
        <v>4</v>
      </c>
      <c r="K28" s="16"/>
      <c r="L28" s="16"/>
      <c r="M28" s="16"/>
    </row>
    <row r="29" spans="2:13" x14ac:dyDescent="0.25">
      <c r="B29" s="18" t="s">
        <v>65</v>
      </c>
      <c r="C29" s="18" t="s">
        <v>56</v>
      </c>
      <c r="D29" s="18" t="s">
        <v>66</v>
      </c>
      <c r="E29" s="6">
        <v>2000</v>
      </c>
      <c r="F29" s="6">
        <v>40</v>
      </c>
      <c r="G29" s="6">
        <v>22</v>
      </c>
      <c r="H29" s="6">
        <v>10</v>
      </c>
      <c r="K29" s="16"/>
      <c r="L29" s="16"/>
      <c r="M29" s="16"/>
    </row>
    <row r="30" spans="2:13" x14ac:dyDescent="0.25">
      <c r="B30" s="18" t="s">
        <v>67</v>
      </c>
      <c r="C30" s="18" t="s">
        <v>56</v>
      </c>
      <c r="D30" s="18" t="s">
        <v>68</v>
      </c>
      <c r="E30" s="6">
        <v>1900</v>
      </c>
      <c r="F30" s="6">
        <v>40</v>
      </c>
      <c r="G30" s="6">
        <v>22</v>
      </c>
      <c r="H30" s="6">
        <v>2</v>
      </c>
      <c r="K30" s="16"/>
      <c r="L30" s="16"/>
      <c r="M30" s="16"/>
    </row>
    <row r="31" spans="2:13" x14ac:dyDescent="0.25">
      <c r="B31" s="18" t="s">
        <v>74</v>
      </c>
      <c r="C31" s="18" t="s">
        <v>63</v>
      </c>
      <c r="D31" s="18" t="s">
        <v>74</v>
      </c>
      <c r="E31" s="6">
        <v>1640</v>
      </c>
      <c r="F31" s="6">
        <v>50</v>
      </c>
      <c r="G31" s="6">
        <v>22</v>
      </c>
      <c r="H31" s="6">
        <v>4</v>
      </c>
      <c r="K31" s="16"/>
      <c r="L31" s="16"/>
      <c r="M31" s="16"/>
    </row>
    <row r="32" spans="2:13" x14ac:dyDescent="0.25">
      <c r="B32" s="18" t="s">
        <v>73</v>
      </c>
      <c r="C32" s="18" t="s">
        <v>81</v>
      </c>
      <c r="D32" s="18" t="s">
        <v>73</v>
      </c>
      <c r="E32" s="6">
        <v>613</v>
      </c>
      <c r="F32" s="6">
        <v>40</v>
      </c>
      <c r="G32" s="6">
        <v>22</v>
      </c>
      <c r="H32" s="6">
        <v>6</v>
      </c>
      <c r="K32" s="16"/>
      <c r="L32" s="16"/>
      <c r="M32" s="16"/>
    </row>
    <row r="33" spans="2:13" x14ac:dyDescent="0.25">
      <c r="B33" s="18" t="s">
        <v>38</v>
      </c>
      <c r="C33" s="18" t="s">
        <v>39</v>
      </c>
      <c r="D33" s="18" t="s">
        <v>38</v>
      </c>
      <c r="E33" s="4">
        <v>1920</v>
      </c>
      <c r="F33" s="4">
        <v>40</v>
      </c>
      <c r="G33" s="4">
        <v>20</v>
      </c>
      <c r="H33" s="6">
        <v>5</v>
      </c>
      <c r="K33" s="16"/>
      <c r="L33" s="16"/>
      <c r="M33" s="16"/>
    </row>
    <row r="34" spans="2:13" x14ac:dyDescent="0.25">
      <c r="B34" s="18" t="s">
        <v>40</v>
      </c>
      <c r="C34" s="18" t="s">
        <v>39</v>
      </c>
      <c r="D34" s="18" t="s">
        <v>40</v>
      </c>
      <c r="E34" s="4">
        <v>940</v>
      </c>
      <c r="F34" s="4">
        <v>40</v>
      </c>
      <c r="G34" s="4">
        <v>20</v>
      </c>
      <c r="H34" s="6">
        <v>2</v>
      </c>
      <c r="K34" s="16"/>
      <c r="L34" s="16"/>
      <c r="M34" s="16"/>
    </row>
    <row r="35" spans="2:13" x14ac:dyDescent="0.25">
      <c r="B35" s="18" t="s">
        <v>41</v>
      </c>
      <c r="C35" s="18" t="s">
        <v>39</v>
      </c>
      <c r="D35" s="18" t="s">
        <v>41</v>
      </c>
      <c r="E35" s="4">
        <v>553</v>
      </c>
      <c r="F35" s="4">
        <v>40</v>
      </c>
      <c r="G35" s="4">
        <v>20</v>
      </c>
      <c r="H35" s="6">
        <v>1</v>
      </c>
      <c r="K35" s="16"/>
      <c r="L35" s="16"/>
      <c r="M35" s="16"/>
    </row>
    <row r="36" spans="2:13" x14ac:dyDescent="0.25">
      <c r="B36" s="18" t="s">
        <v>42</v>
      </c>
      <c r="C36" s="18" t="s">
        <v>39</v>
      </c>
      <c r="D36" s="18" t="s">
        <v>42</v>
      </c>
      <c r="E36" s="4">
        <v>545</v>
      </c>
      <c r="F36" s="4">
        <v>40</v>
      </c>
      <c r="G36" s="4">
        <v>20</v>
      </c>
      <c r="H36" s="6">
        <v>1</v>
      </c>
      <c r="K36" s="16"/>
      <c r="L36" s="16"/>
      <c r="M36" s="16"/>
    </row>
    <row r="37" spans="2:13" x14ac:dyDescent="0.25">
      <c r="B37" s="18" t="s">
        <v>47</v>
      </c>
      <c r="C37" s="18" t="s">
        <v>39</v>
      </c>
      <c r="D37" s="18" t="s">
        <v>47</v>
      </c>
      <c r="E37" s="4">
        <v>1520</v>
      </c>
      <c r="F37" s="4">
        <v>40</v>
      </c>
      <c r="G37" s="4">
        <v>20</v>
      </c>
      <c r="H37" s="6">
        <v>4</v>
      </c>
      <c r="K37" s="16"/>
      <c r="L37" s="16"/>
      <c r="M37" s="16"/>
    </row>
    <row r="38" spans="2:13" x14ac:dyDescent="0.25">
      <c r="B38" s="18" t="s">
        <v>57</v>
      </c>
      <c r="C38" s="18" t="s">
        <v>39</v>
      </c>
      <c r="D38" s="18" t="s">
        <v>57</v>
      </c>
      <c r="E38" s="4">
        <v>1860</v>
      </c>
      <c r="F38" s="4">
        <v>90</v>
      </c>
      <c r="G38" s="4">
        <v>20</v>
      </c>
      <c r="H38" s="6">
        <v>7</v>
      </c>
      <c r="K38" s="16"/>
      <c r="L38" s="16"/>
      <c r="M38" s="16"/>
    </row>
    <row r="39" spans="2:13" x14ac:dyDescent="0.25">
      <c r="B39" s="18" t="s">
        <v>58</v>
      </c>
      <c r="C39" s="18" t="s">
        <v>39</v>
      </c>
      <c r="D39" s="18" t="s">
        <v>58</v>
      </c>
      <c r="E39" s="4">
        <v>1321</v>
      </c>
      <c r="F39" s="4">
        <v>90</v>
      </c>
      <c r="G39" s="4">
        <v>20</v>
      </c>
      <c r="H39" s="6">
        <v>7</v>
      </c>
    </row>
    <row r="40" spans="2:13" x14ac:dyDescent="0.25">
      <c r="B40" s="18" t="s">
        <v>59</v>
      </c>
      <c r="C40" s="18" t="s">
        <v>39</v>
      </c>
      <c r="D40" s="18" t="s">
        <v>59</v>
      </c>
      <c r="E40" s="4">
        <v>1876</v>
      </c>
      <c r="F40" s="4">
        <v>90</v>
      </c>
      <c r="G40" s="4">
        <v>20</v>
      </c>
      <c r="H40" s="6">
        <v>10</v>
      </c>
    </row>
    <row r="41" spans="2:13" x14ac:dyDescent="0.25">
      <c r="B41" s="18" t="s">
        <v>60</v>
      </c>
      <c r="C41" s="18" t="s">
        <v>39</v>
      </c>
      <c r="D41" s="18" t="s">
        <v>60</v>
      </c>
      <c r="E41" s="4">
        <v>1498</v>
      </c>
      <c r="F41" s="4">
        <v>90</v>
      </c>
      <c r="G41" s="4">
        <v>20</v>
      </c>
      <c r="H41" s="6">
        <v>1</v>
      </c>
    </row>
    <row r="42" spans="2:13" x14ac:dyDescent="0.25">
      <c r="B42" s="18" t="s">
        <v>62</v>
      </c>
      <c r="C42" s="18" t="s">
        <v>8</v>
      </c>
      <c r="D42" s="18" t="s">
        <v>62</v>
      </c>
      <c r="E42" s="6">
        <v>2000</v>
      </c>
      <c r="F42" s="6">
        <v>90</v>
      </c>
      <c r="G42" s="6">
        <v>20</v>
      </c>
      <c r="H42" s="6">
        <v>2</v>
      </c>
    </row>
    <row r="43" spans="2:13" x14ac:dyDescent="0.25">
      <c r="B43" s="18" t="s">
        <v>8</v>
      </c>
      <c r="C43" s="18" t="s">
        <v>8</v>
      </c>
      <c r="D43" s="18" t="s">
        <v>8</v>
      </c>
      <c r="E43" s="6">
        <v>2000</v>
      </c>
      <c r="F43" s="6">
        <v>150</v>
      </c>
      <c r="G43" s="6">
        <v>20</v>
      </c>
      <c r="H43" s="6">
        <v>3</v>
      </c>
    </row>
    <row r="44" spans="2:13" x14ac:dyDescent="0.25">
      <c r="B44" s="18" t="s">
        <v>69</v>
      </c>
      <c r="C44" s="18" t="s">
        <v>70</v>
      </c>
      <c r="D44" s="18" t="s">
        <v>69</v>
      </c>
      <c r="E44" s="6">
        <v>1600</v>
      </c>
      <c r="F44" s="6">
        <v>150</v>
      </c>
      <c r="G44" s="6">
        <v>20</v>
      </c>
      <c r="H44" s="6">
        <v>7</v>
      </c>
    </row>
    <row r="45" spans="2:13" x14ac:dyDescent="0.25">
      <c r="B45" s="18" t="s">
        <v>53</v>
      </c>
      <c r="C45" s="18" t="s">
        <v>54</v>
      </c>
      <c r="D45" s="18" t="s">
        <v>53</v>
      </c>
      <c r="E45" s="4">
        <v>2000</v>
      </c>
      <c r="F45" s="4">
        <v>90</v>
      </c>
      <c r="G45" s="4">
        <v>10</v>
      </c>
      <c r="H45" s="6">
        <v>40</v>
      </c>
    </row>
    <row r="46" spans="2:13" x14ac:dyDescent="0.25">
      <c r="B46" s="18" t="s">
        <v>79</v>
      </c>
      <c r="C46" s="18" t="s">
        <v>54</v>
      </c>
      <c r="D46" s="18" t="s">
        <v>79</v>
      </c>
      <c r="E46" s="4">
        <v>2000</v>
      </c>
      <c r="F46" s="4">
        <v>66</v>
      </c>
      <c r="G46" s="4">
        <v>10</v>
      </c>
      <c r="H46" s="6">
        <v>1</v>
      </c>
    </row>
    <row r="47" spans="2:13" x14ac:dyDescent="0.25">
      <c r="B47" s="18" t="s">
        <v>80</v>
      </c>
      <c r="C47" s="18" t="s">
        <v>54</v>
      </c>
      <c r="D47" s="18" t="s">
        <v>80</v>
      </c>
      <c r="E47" s="4">
        <v>2000</v>
      </c>
      <c r="F47" s="4">
        <v>70</v>
      </c>
      <c r="G47" s="4">
        <v>10</v>
      </c>
      <c r="H47" s="6">
        <v>1</v>
      </c>
    </row>
    <row r="48" spans="2:13" x14ac:dyDescent="0.25">
      <c r="B48" s="18"/>
      <c r="C48" s="18"/>
      <c r="D48" s="18"/>
      <c r="E48" s="6"/>
      <c r="F48" s="6"/>
      <c r="G48" s="6"/>
      <c r="H48" s="6"/>
    </row>
  </sheetData>
  <sortState ref="B5:H47">
    <sortCondition descending="1" ref="G47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3:R58"/>
  <sheetViews>
    <sheetView topLeftCell="B1" workbookViewId="0">
      <selection activeCell="J6" sqref="J6:J7"/>
    </sheetView>
  </sheetViews>
  <sheetFormatPr defaultRowHeight="15" x14ac:dyDescent="0.25"/>
  <cols>
    <col min="1" max="1" width="43.7109375" customWidth="1"/>
    <col min="2" max="2" width="46.42578125" customWidth="1"/>
    <col min="3" max="3" width="37.5703125" customWidth="1"/>
    <col min="10" max="10" width="25.28515625" customWidth="1"/>
    <col min="11" max="11" width="12.42578125" style="5" customWidth="1"/>
    <col min="12" max="12" width="9.140625" style="5"/>
    <col min="13" max="13" width="12.28515625" style="5" customWidth="1"/>
    <col min="14" max="14" width="9.140625" style="5"/>
    <col min="15" max="15" width="15.42578125" style="5" customWidth="1"/>
    <col min="16" max="16" width="9.140625" style="5"/>
    <col min="17" max="17" width="14.5703125" style="5" customWidth="1"/>
    <col min="18" max="18" width="9.140625" style="5"/>
  </cols>
  <sheetData>
    <row r="3" spans="1:18" x14ac:dyDescent="0.25">
      <c r="K3" s="5" t="s">
        <v>86</v>
      </c>
      <c r="L3" s="5">
        <v>2</v>
      </c>
      <c r="M3" s="5" t="s">
        <v>87</v>
      </c>
      <c r="N3" s="5">
        <v>4</v>
      </c>
      <c r="O3" s="5" t="s">
        <v>84</v>
      </c>
      <c r="P3" s="5">
        <v>12</v>
      </c>
    </row>
    <row r="4" spans="1:18" x14ac:dyDescent="0.25">
      <c r="K4" s="5" t="s">
        <v>86</v>
      </c>
      <c r="L4" s="5">
        <v>5</v>
      </c>
      <c r="M4" s="5" t="s">
        <v>90</v>
      </c>
      <c r="N4" s="5">
        <v>15</v>
      </c>
      <c r="O4" s="5" t="s">
        <v>88</v>
      </c>
      <c r="P4" s="5">
        <v>36</v>
      </c>
      <c r="Q4" s="5" t="s">
        <v>89</v>
      </c>
      <c r="R4" s="5">
        <f>6*3</f>
        <v>18</v>
      </c>
    </row>
    <row r="6" spans="1:18" ht="16.5" x14ac:dyDescent="0.25">
      <c r="A6" s="18" t="s">
        <v>37</v>
      </c>
      <c r="B6" s="18" t="s">
        <v>13</v>
      </c>
      <c r="C6" s="18" t="s">
        <v>37</v>
      </c>
      <c r="D6" s="4">
        <v>2000</v>
      </c>
      <c r="E6" s="4">
        <v>40</v>
      </c>
      <c r="F6" s="4">
        <v>40</v>
      </c>
      <c r="G6" s="6">
        <v>1</v>
      </c>
      <c r="J6" s="19" t="s">
        <v>82</v>
      </c>
    </row>
    <row r="7" spans="1:18" ht="16.5" x14ac:dyDescent="0.25">
      <c r="A7" s="18" t="s">
        <v>31</v>
      </c>
      <c r="B7" s="18" t="s">
        <v>32</v>
      </c>
      <c r="C7" s="18" t="s">
        <v>33</v>
      </c>
      <c r="D7" s="4">
        <v>1956</v>
      </c>
      <c r="E7" s="4">
        <v>40</v>
      </c>
      <c r="F7" s="4">
        <v>40</v>
      </c>
      <c r="G7" s="6">
        <v>3</v>
      </c>
      <c r="J7" s="19" t="s">
        <v>83</v>
      </c>
    </row>
    <row r="8" spans="1:18" x14ac:dyDescent="0.25">
      <c r="A8" s="18" t="s">
        <v>71</v>
      </c>
      <c r="B8" s="18" t="s">
        <v>0</v>
      </c>
      <c r="C8" s="18" t="s">
        <v>78</v>
      </c>
      <c r="D8" s="4">
        <v>1956</v>
      </c>
      <c r="E8" s="4">
        <v>40</v>
      </c>
      <c r="F8" s="4">
        <v>40</v>
      </c>
      <c r="G8" s="6">
        <v>2</v>
      </c>
    </row>
    <row r="9" spans="1:18" x14ac:dyDescent="0.25">
      <c r="A9" s="18" t="s">
        <v>29</v>
      </c>
      <c r="B9" s="18" t="s">
        <v>0</v>
      </c>
      <c r="C9" s="18" t="s">
        <v>29</v>
      </c>
      <c r="D9" s="4">
        <v>1940</v>
      </c>
      <c r="E9" s="4">
        <v>40</v>
      </c>
      <c r="F9" s="4">
        <v>40</v>
      </c>
      <c r="G9" s="6">
        <v>11</v>
      </c>
    </row>
    <row r="10" spans="1:18" x14ac:dyDescent="0.25">
      <c r="A10" s="18" t="s">
        <v>52</v>
      </c>
      <c r="B10" s="18" t="s">
        <v>0</v>
      </c>
      <c r="C10" s="18" t="s">
        <v>52</v>
      </c>
      <c r="D10" s="4">
        <v>1900</v>
      </c>
      <c r="E10" s="4">
        <v>40</v>
      </c>
      <c r="F10" s="4">
        <v>40</v>
      </c>
      <c r="G10" s="6">
        <v>5</v>
      </c>
    </row>
    <row r="11" spans="1:18" x14ac:dyDescent="0.25">
      <c r="A11" s="18" t="s">
        <v>34</v>
      </c>
      <c r="B11" s="18" t="s">
        <v>0</v>
      </c>
      <c r="C11" s="18" t="s">
        <v>34</v>
      </c>
      <c r="D11" s="4">
        <v>1876</v>
      </c>
      <c r="E11" s="4">
        <v>40</v>
      </c>
      <c r="F11" s="4">
        <v>40</v>
      </c>
      <c r="G11" s="6">
        <v>1</v>
      </c>
    </row>
    <row r="12" spans="1:18" x14ac:dyDescent="0.25">
      <c r="A12" s="18" t="s">
        <v>43</v>
      </c>
      <c r="B12" s="18" t="s">
        <v>0</v>
      </c>
      <c r="C12" s="18" t="s">
        <v>43</v>
      </c>
      <c r="D12" s="4">
        <v>1876</v>
      </c>
      <c r="E12" s="4">
        <v>40</v>
      </c>
      <c r="F12" s="4">
        <v>40</v>
      </c>
      <c r="G12" s="6">
        <v>2</v>
      </c>
    </row>
    <row r="13" spans="1:18" x14ac:dyDescent="0.25">
      <c r="A13" s="18" t="s">
        <v>72</v>
      </c>
      <c r="B13" s="18" t="s">
        <v>13</v>
      </c>
      <c r="C13" s="18" t="s">
        <v>72</v>
      </c>
      <c r="D13" s="4">
        <v>1600</v>
      </c>
      <c r="E13" s="4">
        <v>40</v>
      </c>
      <c r="F13" s="4">
        <v>40</v>
      </c>
      <c r="G13" s="6">
        <v>1</v>
      </c>
    </row>
    <row r="14" spans="1:18" x14ac:dyDescent="0.25">
      <c r="A14" s="18" t="s">
        <v>44</v>
      </c>
      <c r="B14" s="18" t="s">
        <v>45</v>
      </c>
      <c r="C14" s="18" t="s">
        <v>46</v>
      </c>
      <c r="D14" s="4">
        <v>1520</v>
      </c>
      <c r="E14" s="4">
        <v>40</v>
      </c>
      <c r="F14" s="4">
        <v>40</v>
      </c>
      <c r="G14" s="6">
        <v>6</v>
      </c>
    </row>
    <row r="15" spans="1:18" x14ac:dyDescent="0.25">
      <c r="A15" s="18" t="s">
        <v>35</v>
      </c>
      <c r="B15" s="18" t="s">
        <v>13</v>
      </c>
      <c r="C15" s="18" t="s">
        <v>35</v>
      </c>
      <c r="D15" s="4">
        <v>1250</v>
      </c>
      <c r="E15" s="4">
        <v>40</v>
      </c>
      <c r="F15" s="4">
        <v>40</v>
      </c>
      <c r="G15" s="6">
        <v>12</v>
      </c>
    </row>
    <row r="16" spans="1:18" x14ac:dyDescent="0.25">
      <c r="A16" s="18" t="s">
        <v>25</v>
      </c>
      <c r="B16" s="18" t="s">
        <v>26</v>
      </c>
      <c r="C16" s="18" t="s">
        <v>27</v>
      </c>
      <c r="D16" s="4">
        <v>940</v>
      </c>
      <c r="E16" s="4">
        <v>40</v>
      </c>
      <c r="F16" s="4">
        <v>40</v>
      </c>
      <c r="G16" s="6">
        <v>12</v>
      </c>
    </row>
    <row r="17" spans="1:16" x14ac:dyDescent="0.25">
      <c r="A17" s="18" t="s">
        <v>51</v>
      </c>
      <c r="B17" s="18" t="s">
        <v>0</v>
      </c>
      <c r="C17" s="18" t="s">
        <v>51</v>
      </c>
      <c r="D17" s="4">
        <v>918</v>
      </c>
      <c r="E17" s="4">
        <v>40</v>
      </c>
      <c r="F17" s="4">
        <v>40</v>
      </c>
      <c r="G17" s="6">
        <v>2</v>
      </c>
    </row>
    <row r="18" spans="1:16" x14ac:dyDescent="0.25">
      <c r="A18" s="18" t="s">
        <v>77</v>
      </c>
      <c r="B18" s="18" t="s">
        <v>8</v>
      </c>
      <c r="C18" s="18" t="s">
        <v>77</v>
      </c>
      <c r="D18" s="4">
        <v>907</v>
      </c>
      <c r="E18" s="4">
        <v>40</v>
      </c>
      <c r="F18" s="4">
        <v>40</v>
      </c>
      <c r="G18" s="6">
        <v>1</v>
      </c>
    </row>
    <row r="19" spans="1:16" x14ac:dyDescent="0.25">
      <c r="A19" s="18" t="s">
        <v>30</v>
      </c>
      <c r="B19" s="18" t="s">
        <v>8</v>
      </c>
      <c r="C19" s="18" t="s">
        <v>30</v>
      </c>
      <c r="D19" s="4">
        <v>887</v>
      </c>
      <c r="E19" s="4">
        <v>40</v>
      </c>
      <c r="F19" s="4">
        <v>40</v>
      </c>
      <c r="G19" s="6">
        <v>2</v>
      </c>
    </row>
    <row r="20" spans="1:16" x14ac:dyDescent="0.25">
      <c r="A20" s="18" t="s">
        <v>75</v>
      </c>
      <c r="B20" s="18" t="s">
        <v>8</v>
      </c>
      <c r="C20" s="18" t="s">
        <v>75</v>
      </c>
      <c r="D20" s="4">
        <v>424</v>
      </c>
      <c r="E20" s="4">
        <v>40</v>
      </c>
      <c r="F20" s="4">
        <v>40</v>
      </c>
      <c r="G20" s="6">
        <v>1</v>
      </c>
    </row>
    <row r="21" spans="1:16" x14ac:dyDescent="0.25">
      <c r="A21" s="18" t="s">
        <v>76</v>
      </c>
      <c r="B21" s="18" t="s">
        <v>8</v>
      </c>
      <c r="C21" s="18" t="s">
        <v>76</v>
      </c>
      <c r="D21" s="4">
        <v>424</v>
      </c>
      <c r="E21" s="4">
        <v>40</v>
      </c>
      <c r="F21" s="4">
        <v>40</v>
      </c>
      <c r="G21" s="6">
        <v>1</v>
      </c>
    </row>
    <row r="22" spans="1:16" x14ac:dyDescent="0.25">
      <c r="A22" s="18" t="s">
        <v>28</v>
      </c>
      <c r="B22" s="18" t="s">
        <v>8</v>
      </c>
      <c r="C22" s="18" t="s">
        <v>28</v>
      </c>
      <c r="D22" s="6">
        <v>404</v>
      </c>
      <c r="E22" s="6">
        <v>40</v>
      </c>
      <c r="F22" s="6">
        <v>40</v>
      </c>
      <c r="G22" s="6">
        <v>4</v>
      </c>
    </row>
    <row r="23" spans="1:16" x14ac:dyDescent="0.25">
      <c r="A23" s="18" t="s">
        <v>50</v>
      </c>
      <c r="B23" s="18" t="s">
        <v>8</v>
      </c>
      <c r="C23" s="18" t="s">
        <v>50</v>
      </c>
      <c r="D23" s="4">
        <v>389</v>
      </c>
      <c r="E23" s="4">
        <v>40</v>
      </c>
      <c r="F23" s="4">
        <v>40</v>
      </c>
      <c r="G23" s="6">
        <v>1</v>
      </c>
    </row>
    <row r="24" spans="1:16" x14ac:dyDescent="0.25">
      <c r="A24" s="18" t="s">
        <v>48</v>
      </c>
      <c r="B24" s="18" t="s">
        <v>8</v>
      </c>
      <c r="C24" s="18" t="s">
        <v>48</v>
      </c>
      <c r="D24" s="4">
        <v>351</v>
      </c>
      <c r="E24" s="4">
        <v>40</v>
      </c>
      <c r="F24" s="4">
        <v>40</v>
      </c>
      <c r="G24" s="6">
        <v>3</v>
      </c>
    </row>
    <row r="25" spans="1:16" x14ac:dyDescent="0.25">
      <c r="A25" s="18" t="s">
        <v>49</v>
      </c>
      <c r="B25" s="18" t="s">
        <v>8</v>
      </c>
      <c r="C25" s="18" t="s">
        <v>49</v>
      </c>
      <c r="D25" s="4">
        <v>350</v>
      </c>
      <c r="E25" s="4">
        <v>40</v>
      </c>
      <c r="F25" s="4">
        <v>40</v>
      </c>
      <c r="G25" s="6">
        <v>5</v>
      </c>
    </row>
    <row r="26" spans="1:16" x14ac:dyDescent="0.25">
      <c r="A26" s="18" t="s">
        <v>36</v>
      </c>
      <c r="B26" s="18" t="s">
        <v>13</v>
      </c>
      <c r="C26" s="18" t="s">
        <v>36</v>
      </c>
      <c r="D26" s="4">
        <v>300</v>
      </c>
      <c r="E26" s="4">
        <v>40</v>
      </c>
      <c r="F26" s="4">
        <v>40</v>
      </c>
      <c r="G26" s="6">
        <v>4</v>
      </c>
    </row>
    <row r="27" spans="1:16" x14ac:dyDescent="0.25">
      <c r="D27" s="16"/>
      <c r="E27" s="16"/>
      <c r="F27" s="16"/>
      <c r="G27" s="5"/>
    </row>
    <row r="28" spans="1:16" x14ac:dyDescent="0.25">
      <c r="O28" s="5" t="s">
        <v>89</v>
      </c>
      <c r="P28" s="5">
        <f>6*3</f>
        <v>18</v>
      </c>
    </row>
    <row r="29" spans="1:16" x14ac:dyDescent="0.25">
      <c r="K29" s="5" t="s">
        <v>86</v>
      </c>
      <c r="L29" s="5">
        <v>2</v>
      </c>
      <c r="M29" s="5" t="s">
        <v>90</v>
      </c>
      <c r="N29" s="5">
        <v>6</v>
      </c>
      <c r="O29" s="5" t="s">
        <v>89</v>
      </c>
      <c r="P29" s="5">
        <v>36</v>
      </c>
    </row>
    <row r="34" spans="1:12" x14ac:dyDescent="0.25">
      <c r="A34" s="18" t="s">
        <v>55</v>
      </c>
      <c r="B34" s="18" t="s">
        <v>56</v>
      </c>
      <c r="C34" s="18" t="s">
        <v>55</v>
      </c>
      <c r="D34" s="4">
        <v>1900</v>
      </c>
      <c r="E34" s="4">
        <v>40</v>
      </c>
      <c r="F34" s="4">
        <v>20</v>
      </c>
      <c r="G34" s="6">
        <v>19</v>
      </c>
      <c r="J34" s="5" t="s">
        <v>85</v>
      </c>
    </row>
    <row r="35" spans="1:12" x14ac:dyDescent="0.25">
      <c r="A35" s="18" t="s">
        <v>65</v>
      </c>
      <c r="B35" s="18" t="s">
        <v>56</v>
      </c>
      <c r="C35" s="18" t="s">
        <v>66</v>
      </c>
      <c r="D35" s="6">
        <v>2000</v>
      </c>
      <c r="E35" s="6">
        <v>40</v>
      </c>
      <c r="F35" s="4">
        <v>20</v>
      </c>
      <c r="G35" s="6">
        <v>10</v>
      </c>
      <c r="J35" s="5"/>
    </row>
    <row r="36" spans="1:12" x14ac:dyDescent="0.25">
      <c r="A36" s="18" t="s">
        <v>67</v>
      </c>
      <c r="B36" s="18" t="s">
        <v>56</v>
      </c>
      <c r="C36" s="18" t="s">
        <v>68</v>
      </c>
      <c r="D36" s="6">
        <v>1900</v>
      </c>
      <c r="E36" s="6">
        <v>40</v>
      </c>
      <c r="F36" s="4">
        <v>20</v>
      </c>
      <c r="G36" s="6">
        <v>2</v>
      </c>
      <c r="J36" s="5"/>
    </row>
    <row r="37" spans="1:12" x14ac:dyDescent="0.25">
      <c r="A37" s="18" t="s">
        <v>74</v>
      </c>
      <c r="B37" s="18" t="s">
        <v>63</v>
      </c>
      <c r="C37" s="18" t="s">
        <v>74</v>
      </c>
      <c r="D37" s="6">
        <v>1640</v>
      </c>
      <c r="E37" s="6">
        <v>50</v>
      </c>
      <c r="F37" s="4">
        <v>20</v>
      </c>
      <c r="G37" s="6">
        <v>4</v>
      </c>
      <c r="J37" s="5"/>
    </row>
    <row r="38" spans="1:12" x14ac:dyDescent="0.25">
      <c r="A38" s="18" t="s">
        <v>64</v>
      </c>
      <c r="B38" s="18" t="s">
        <v>56</v>
      </c>
      <c r="C38" s="18" t="s">
        <v>64</v>
      </c>
      <c r="D38" s="6">
        <v>1600</v>
      </c>
      <c r="E38" s="6">
        <v>40</v>
      </c>
      <c r="F38" s="4">
        <v>20</v>
      </c>
      <c r="G38" s="6">
        <v>4</v>
      </c>
      <c r="J38" s="5"/>
    </row>
    <row r="39" spans="1:12" x14ac:dyDescent="0.25">
      <c r="A39" s="18" t="s">
        <v>73</v>
      </c>
      <c r="B39" s="18" t="s">
        <v>81</v>
      </c>
      <c r="C39" s="18" t="s">
        <v>73</v>
      </c>
      <c r="D39" s="6">
        <v>613</v>
      </c>
      <c r="E39" s="6">
        <v>40</v>
      </c>
      <c r="F39" s="4">
        <v>20</v>
      </c>
      <c r="G39" s="6">
        <v>6</v>
      </c>
      <c r="J39" s="5"/>
    </row>
    <row r="40" spans="1:12" x14ac:dyDescent="0.25">
      <c r="A40" s="18" t="s">
        <v>38</v>
      </c>
      <c r="B40" s="18" t="s">
        <v>39</v>
      </c>
      <c r="C40" s="18" t="s">
        <v>38</v>
      </c>
      <c r="D40" s="4">
        <v>1920</v>
      </c>
      <c r="E40" s="4">
        <v>40</v>
      </c>
      <c r="F40" s="4">
        <v>20</v>
      </c>
      <c r="G40" s="6">
        <v>5</v>
      </c>
    </row>
    <row r="41" spans="1:12" x14ac:dyDescent="0.25">
      <c r="A41" s="18" t="s">
        <v>47</v>
      </c>
      <c r="B41" s="18" t="s">
        <v>39</v>
      </c>
      <c r="C41" s="18" t="s">
        <v>47</v>
      </c>
      <c r="D41" s="4">
        <v>1520</v>
      </c>
      <c r="E41" s="4">
        <v>40</v>
      </c>
      <c r="F41" s="4">
        <v>20</v>
      </c>
      <c r="G41" s="6">
        <v>4</v>
      </c>
    </row>
    <row r="42" spans="1:12" x14ac:dyDescent="0.25">
      <c r="A42" s="18" t="s">
        <v>40</v>
      </c>
      <c r="B42" s="18" t="s">
        <v>39</v>
      </c>
      <c r="C42" s="18" t="s">
        <v>40</v>
      </c>
      <c r="D42" s="4">
        <v>940</v>
      </c>
      <c r="E42" s="4">
        <v>40</v>
      </c>
      <c r="F42" s="4">
        <v>20</v>
      </c>
      <c r="G42" s="6">
        <v>2</v>
      </c>
    </row>
    <row r="43" spans="1:12" x14ac:dyDescent="0.25">
      <c r="A43" s="18" t="s">
        <v>41</v>
      </c>
      <c r="B43" s="18" t="s">
        <v>39</v>
      </c>
      <c r="C43" s="18" t="s">
        <v>41</v>
      </c>
      <c r="D43" s="4">
        <v>553</v>
      </c>
      <c r="E43" s="4">
        <v>40</v>
      </c>
      <c r="F43" s="4">
        <v>20</v>
      </c>
      <c r="G43" s="6">
        <v>1</v>
      </c>
    </row>
    <row r="44" spans="1:12" x14ac:dyDescent="0.25">
      <c r="A44" s="18" t="s">
        <v>42</v>
      </c>
      <c r="B44" s="18" t="s">
        <v>39</v>
      </c>
      <c r="C44" s="18" t="s">
        <v>42</v>
      </c>
      <c r="D44" s="4">
        <v>545</v>
      </c>
      <c r="E44" s="4">
        <v>40</v>
      </c>
      <c r="F44" s="4">
        <v>20</v>
      </c>
      <c r="G44" s="6">
        <v>1</v>
      </c>
    </row>
    <row r="45" spans="1:12" x14ac:dyDescent="0.25">
      <c r="A45" s="18"/>
      <c r="B45" s="18"/>
      <c r="C45" s="18"/>
      <c r="D45" s="4"/>
      <c r="E45" s="4"/>
      <c r="F45" s="4"/>
      <c r="G45" s="6"/>
    </row>
    <row r="46" spans="1:12" x14ac:dyDescent="0.25">
      <c r="A46" s="18"/>
      <c r="B46" s="18"/>
      <c r="C46" s="18"/>
      <c r="D46" s="4"/>
      <c r="E46" s="4"/>
      <c r="F46" s="4"/>
      <c r="G46" s="6"/>
      <c r="K46" s="5" t="s">
        <v>96</v>
      </c>
      <c r="L46" s="5">
        <v>2</v>
      </c>
    </row>
    <row r="47" spans="1:12" x14ac:dyDescent="0.25">
      <c r="A47" s="18" t="s">
        <v>8</v>
      </c>
      <c r="B47" s="20" t="s">
        <v>8</v>
      </c>
      <c r="C47" s="20" t="s">
        <v>8</v>
      </c>
      <c r="D47" s="21">
        <v>2000</v>
      </c>
      <c r="E47" s="21">
        <v>150</v>
      </c>
      <c r="F47" s="21">
        <v>20</v>
      </c>
      <c r="G47" s="21">
        <v>3</v>
      </c>
    </row>
    <row r="48" spans="1:12" x14ac:dyDescent="0.25">
      <c r="A48" s="18" t="s">
        <v>69</v>
      </c>
      <c r="B48" s="18" t="s">
        <v>70</v>
      </c>
      <c r="C48" s="18" t="s">
        <v>69</v>
      </c>
      <c r="D48" s="6">
        <v>1600</v>
      </c>
      <c r="E48" s="6">
        <v>150</v>
      </c>
      <c r="F48" s="6">
        <v>20</v>
      </c>
      <c r="G48" s="6">
        <v>7</v>
      </c>
    </row>
    <row r="49" spans="1:14" x14ac:dyDescent="0.25">
      <c r="A49" s="18"/>
      <c r="B49" s="18"/>
      <c r="C49" s="18"/>
      <c r="D49" s="6"/>
      <c r="E49" s="6"/>
      <c r="F49" s="6"/>
      <c r="G49" s="6"/>
    </row>
    <row r="50" spans="1:14" x14ac:dyDescent="0.25">
      <c r="A50" s="18"/>
      <c r="B50" s="18"/>
      <c r="C50" s="18"/>
      <c r="D50" s="6"/>
      <c r="E50" s="6"/>
      <c r="F50" s="6"/>
      <c r="G50" s="6"/>
      <c r="K50" s="5" t="s">
        <v>93</v>
      </c>
      <c r="L50" s="5">
        <v>2</v>
      </c>
      <c r="M50" s="5" t="s">
        <v>94</v>
      </c>
      <c r="N50" s="5">
        <v>4</v>
      </c>
    </row>
    <row r="51" spans="1:14" x14ac:dyDescent="0.25">
      <c r="A51" s="18"/>
      <c r="B51" s="18"/>
      <c r="C51" s="18"/>
      <c r="D51" s="6"/>
      <c r="E51" s="6"/>
      <c r="F51" s="6"/>
      <c r="G51" s="6"/>
      <c r="K51" s="5" t="s">
        <v>93</v>
      </c>
      <c r="L51" s="5">
        <v>9</v>
      </c>
      <c r="M51" s="5" t="s">
        <v>95</v>
      </c>
      <c r="N51" s="5">
        <v>18</v>
      </c>
    </row>
    <row r="52" spans="1:14" x14ac:dyDescent="0.25">
      <c r="A52" s="18"/>
      <c r="B52" s="18"/>
      <c r="C52" s="18"/>
      <c r="D52" s="6"/>
      <c r="E52" s="6"/>
      <c r="F52" s="6"/>
      <c r="G52" s="6"/>
    </row>
    <row r="53" spans="1:14" x14ac:dyDescent="0.25">
      <c r="A53" s="18" t="s">
        <v>62</v>
      </c>
      <c r="B53" s="20" t="s">
        <v>8</v>
      </c>
      <c r="C53" s="20" t="s">
        <v>62</v>
      </c>
      <c r="D53" s="21">
        <v>2000</v>
      </c>
      <c r="E53" s="21">
        <v>90</v>
      </c>
      <c r="F53" s="21">
        <v>20</v>
      </c>
      <c r="G53" s="21">
        <v>2</v>
      </c>
      <c r="J53" t="s">
        <v>91</v>
      </c>
    </row>
    <row r="54" spans="1:14" x14ac:dyDescent="0.25">
      <c r="A54" s="18" t="s">
        <v>59</v>
      </c>
      <c r="B54" s="18" t="s">
        <v>39</v>
      </c>
      <c r="C54" s="18" t="s">
        <v>59</v>
      </c>
      <c r="D54" s="4">
        <v>1876</v>
      </c>
      <c r="E54" s="4">
        <v>90</v>
      </c>
      <c r="F54" s="4">
        <v>20</v>
      </c>
      <c r="G54" s="6">
        <v>10</v>
      </c>
      <c r="J54" t="s">
        <v>92</v>
      </c>
    </row>
    <row r="55" spans="1:14" x14ac:dyDescent="0.25">
      <c r="A55" s="18" t="s">
        <v>57</v>
      </c>
      <c r="B55" s="18" t="s">
        <v>39</v>
      </c>
      <c r="C55" s="18" t="s">
        <v>57</v>
      </c>
      <c r="D55" s="4">
        <v>1860</v>
      </c>
      <c r="E55" s="4">
        <v>90</v>
      </c>
      <c r="F55" s="4">
        <v>20</v>
      </c>
      <c r="G55" s="6">
        <v>7</v>
      </c>
    </row>
    <row r="56" spans="1:14" x14ac:dyDescent="0.25">
      <c r="A56" s="18" t="s">
        <v>60</v>
      </c>
      <c r="B56" s="18" t="s">
        <v>39</v>
      </c>
      <c r="C56" s="18" t="s">
        <v>60</v>
      </c>
      <c r="D56" s="4">
        <v>1498</v>
      </c>
      <c r="E56" s="4">
        <v>90</v>
      </c>
      <c r="F56" s="4">
        <v>20</v>
      </c>
      <c r="G56" s="6">
        <v>1</v>
      </c>
    </row>
    <row r="57" spans="1:14" x14ac:dyDescent="0.25">
      <c r="A57" s="18" t="s">
        <v>58</v>
      </c>
      <c r="B57" s="18" t="s">
        <v>39</v>
      </c>
      <c r="C57" s="18" t="s">
        <v>58</v>
      </c>
      <c r="D57" s="4">
        <v>1321</v>
      </c>
      <c r="E57" s="4">
        <v>90</v>
      </c>
      <c r="F57" s="4">
        <v>20</v>
      </c>
      <c r="G57" s="6">
        <v>7</v>
      </c>
    </row>
    <row r="58" spans="1:14" x14ac:dyDescent="0.25">
      <c r="A58" s="18"/>
      <c r="B58" s="18"/>
      <c r="C58" s="18"/>
      <c r="D58" s="4"/>
      <c r="E58" s="4"/>
      <c r="F58" s="4"/>
      <c r="G58" s="6"/>
    </row>
  </sheetData>
  <sortState ref="A47:G54">
    <sortCondition descending="1" ref="E4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2:G7"/>
  <sheetViews>
    <sheetView workbookViewId="0">
      <selection activeCell="J25" sqref="J25"/>
    </sheetView>
  </sheetViews>
  <sheetFormatPr defaultRowHeight="15" x14ac:dyDescent="0.25"/>
  <cols>
    <col min="1" max="1" width="9.140625" style="5"/>
    <col min="2" max="2" width="21.5703125" style="5" customWidth="1"/>
    <col min="3" max="5" width="9.140625" style="5"/>
    <col min="6" max="6" width="13.85546875" style="5" customWidth="1"/>
    <col min="7" max="16384" width="9.140625" style="5"/>
  </cols>
  <sheetData>
    <row r="2" spans="1:7" x14ac:dyDescent="0.25">
      <c r="B2" s="5" t="s">
        <v>97</v>
      </c>
      <c r="D2" s="5" t="s">
        <v>100</v>
      </c>
      <c r="E2" s="5">
        <f>SUM(E3:E7)</f>
        <v>3745</v>
      </c>
      <c r="F2" s="5" t="s">
        <v>98</v>
      </c>
    </row>
    <row r="3" spans="1:7" x14ac:dyDescent="0.25">
      <c r="A3" s="5">
        <v>1</v>
      </c>
      <c r="B3" s="5" t="s">
        <v>86</v>
      </c>
      <c r="C3" s="5">
        <v>2</v>
      </c>
      <c r="D3" s="5">
        <v>330</v>
      </c>
      <c r="E3" s="5">
        <f>PRODUCT(C3,D3)</f>
        <v>660</v>
      </c>
      <c r="F3" s="5" t="s">
        <v>90</v>
      </c>
      <c r="G3" s="5">
        <v>6</v>
      </c>
    </row>
    <row r="4" spans="1:7" x14ac:dyDescent="0.25">
      <c r="A4" s="5">
        <v>2</v>
      </c>
      <c r="B4" s="5" t="s">
        <v>96</v>
      </c>
      <c r="C4" s="5">
        <v>2</v>
      </c>
      <c r="D4" s="5">
        <v>200</v>
      </c>
      <c r="E4" s="5">
        <f t="shared" ref="E4:E7" si="0">PRODUCT(C4,D4)</f>
        <v>400</v>
      </c>
      <c r="F4" s="5" t="s">
        <v>99</v>
      </c>
      <c r="G4" s="5">
        <v>6</v>
      </c>
    </row>
    <row r="5" spans="1:7" x14ac:dyDescent="0.25">
      <c r="A5" s="5">
        <v>3</v>
      </c>
      <c r="B5" s="5" t="s">
        <v>93</v>
      </c>
      <c r="C5" s="5">
        <v>11</v>
      </c>
      <c r="D5" s="5">
        <v>135</v>
      </c>
      <c r="E5" s="5">
        <f t="shared" si="0"/>
        <v>1485</v>
      </c>
      <c r="F5" s="5" t="s">
        <v>94</v>
      </c>
      <c r="G5" s="5">
        <v>2</v>
      </c>
    </row>
    <row r="6" spans="1:7" x14ac:dyDescent="0.25">
      <c r="F6" s="5" t="s">
        <v>95</v>
      </c>
      <c r="G6" s="5">
        <v>9</v>
      </c>
    </row>
    <row r="7" spans="1:7" x14ac:dyDescent="0.25">
      <c r="A7" s="5">
        <v>4</v>
      </c>
      <c r="B7" s="5" t="s">
        <v>101</v>
      </c>
      <c r="C7" s="5">
        <v>4</v>
      </c>
      <c r="D7" s="5">
        <v>300</v>
      </c>
      <c r="E7" s="5">
        <f t="shared" si="0"/>
        <v>1200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3:I128"/>
  <sheetViews>
    <sheetView tabSelected="1" topLeftCell="A4" workbookViewId="0">
      <selection activeCell="F36" sqref="F36"/>
    </sheetView>
  </sheetViews>
  <sheetFormatPr defaultRowHeight="15" x14ac:dyDescent="0.25"/>
  <cols>
    <col min="1" max="1" width="20" style="23" customWidth="1"/>
    <col min="2" max="2" width="33.7109375" style="23" customWidth="1"/>
    <col min="3" max="8" width="9.140625" style="5"/>
    <col min="9" max="9" width="26.5703125" style="23" customWidth="1"/>
    <col min="10" max="10" width="18.42578125" style="5" customWidth="1"/>
    <col min="11" max="16384" width="9.140625" style="5"/>
  </cols>
  <sheetData>
    <row r="3" spans="1:6" ht="16.5" x14ac:dyDescent="0.25">
      <c r="A3" s="25" t="s">
        <v>82</v>
      </c>
      <c r="B3" s="25"/>
      <c r="C3" s="25"/>
    </row>
    <row r="4" spans="1:6" ht="16.5" x14ac:dyDescent="0.25">
      <c r="A4" s="25" t="s">
        <v>83</v>
      </c>
      <c r="B4" s="25"/>
      <c r="C4" s="25"/>
    </row>
    <row r="7" spans="1:6" x14ac:dyDescent="0.25">
      <c r="A7" s="22" t="s">
        <v>13</v>
      </c>
      <c r="B7" s="22" t="s">
        <v>37</v>
      </c>
      <c r="C7" s="4">
        <v>2000</v>
      </c>
      <c r="D7" s="4">
        <v>40</v>
      </c>
      <c r="E7" s="4">
        <v>40</v>
      </c>
      <c r="F7" s="6">
        <v>1</v>
      </c>
    </row>
    <row r="8" spans="1:6" x14ac:dyDescent="0.25">
      <c r="A8" s="22" t="s">
        <v>32</v>
      </c>
      <c r="B8" s="22" t="s">
        <v>33</v>
      </c>
      <c r="C8" s="4">
        <v>1956</v>
      </c>
      <c r="D8" s="4">
        <v>40</v>
      </c>
      <c r="E8" s="4">
        <v>40</v>
      </c>
      <c r="F8" s="6">
        <v>3</v>
      </c>
    </row>
    <row r="9" spans="1:6" x14ac:dyDescent="0.25">
      <c r="A9" s="22" t="s">
        <v>0</v>
      </c>
      <c r="B9" s="22" t="s">
        <v>78</v>
      </c>
      <c r="C9" s="4">
        <v>1956</v>
      </c>
      <c r="D9" s="4">
        <v>40</v>
      </c>
      <c r="E9" s="4">
        <v>40</v>
      </c>
      <c r="F9" s="6">
        <v>2</v>
      </c>
    </row>
    <row r="10" spans="1:6" x14ac:dyDescent="0.25">
      <c r="A10" s="22" t="s">
        <v>0</v>
      </c>
      <c r="B10" s="22" t="s">
        <v>29</v>
      </c>
      <c r="C10" s="4">
        <v>1940</v>
      </c>
      <c r="D10" s="4">
        <v>40</v>
      </c>
      <c r="E10" s="4">
        <v>40</v>
      </c>
      <c r="F10" s="6">
        <v>11</v>
      </c>
    </row>
    <row r="11" spans="1:6" x14ac:dyDescent="0.25">
      <c r="A11" s="22" t="s">
        <v>0</v>
      </c>
      <c r="B11" s="22" t="s">
        <v>52</v>
      </c>
      <c r="C11" s="4">
        <v>1900</v>
      </c>
      <c r="D11" s="4">
        <v>40</v>
      </c>
      <c r="E11" s="4">
        <v>40</v>
      </c>
      <c r="F11" s="6">
        <v>5</v>
      </c>
    </row>
    <row r="12" spans="1:6" x14ac:dyDescent="0.25">
      <c r="A12" s="22" t="s">
        <v>0</v>
      </c>
      <c r="B12" s="22" t="s">
        <v>34</v>
      </c>
      <c r="C12" s="4">
        <v>1876</v>
      </c>
      <c r="D12" s="4">
        <v>40</v>
      </c>
      <c r="E12" s="4">
        <v>40</v>
      </c>
      <c r="F12" s="6">
        <v>1</v>
      </c>
    </row>
    <row r="13" spans="1:6" x14ac:dyDescent="0.25">
      <c r="A13" s="22" t="s">
        <v>0</v>
      </c>
      <c r="B13" s="22" t="s">
        <v>43</v>
      </c>
      <c r="C13" s="4">
        <v>1876</v>
      </c>
      <c r="D13" s="4">
        <v>40</v>
      </c>
      <c r="E13" s="4">
        <v>40</v>
      </c>
      <c r="F13" s="6">
        <v>2</v>
      </c>
    </row>
    <row r="14" spans="1:6" x14ac:dyDescent="0.25">
      <c r="A14" s="22" t="s">
        <v>13</v>
      </c>
      <c r="B14" s="22" t="s">
        <v>72</v>
      </c>
      <c r="C14" s="4">
        <v>1600</v>
      </c>
      <c r="D14" s="4">
        <v>40</v>
      </c>
      <c r="E14" s="4">
        <v>40</v>
      </c>
      <c r="F14" s="6">
        <v>1</v>
      </c>
    </row>
    <row r="15" spans="1:6" x14ac:dyDescent="0.25">
      <c r="A15" s="22" t="s">
        <v>45</v>
      </c>
      <c r="B15" s="22" t="s">
        <v>46</v>
      </c>
      <c r="C15" s="4">
        <v>1520</v>
      </c>
      <c r="D15" s="4">
        <v>40</v>
      </c>
      <c r="E15" s="4">
        <v>40</v>
      </c>
      <c r="F15" s="6">
        <v>6</v>
      </c>
    </row>
    <row r="16" spans="1:6" x14ac:dyDescent="0.25">
      <c r="A16" s="22" t="s">
        <v>13</v>
      </c>
      <c r="B16" s="22" t="s">
        <v>35</v>
      </c>
      <c r="C16" s="4">
        <v>1250</v>
      </c>
      <c r="D16" s="4">
        <v>40</v>
      </c>
      <c r="E16" s="4">
        <v>40</v>
      </c>
      <c r="F16" s="6">
        <v>12</v>
      </c>
    </row>
    <row r="17" spans="1:6" x14ac:dyDescent="0.25">
      <c r="A17" s="22" t="s">
        <v>26</v>
      </c>
      <c r="B17" s="22" t="s">
        <v>27</v>
      </c>
      <c r="C17" s="4">
        <v>940</v>
      </c>
      <c r="D17" s="4">
        <v>40</v>
      </c>
      <c r="E17" s="4">
        <v>40</v>
      </c>
      <c r="F17" s="6">
        <v>12</v>
      </c>
    </row>
    <row r="18" spans="1:6" x14ac:dyDescent="0.25">
      <c r="A18" s="22" t="s">
        <v>0</v>
      </c>
      <c r="B18" s="22" t="s">
        <v>51</v>
      </c>
      <c r="C18" s="4">
        <v>918</v>
      </c>
      <c r="D18" s="4">
        <v>40</v>
      </c>
      <c r="E18" s="4">
        <v>40</v>
      </c>
      <c r="F18" s="6">
        <v>2</v>
      </c>
    </row>
    <row r="19" spans="1:6" x14ac:dyDescent="0.25">
      <c r="A19" s="22" t="s">
        <v>8</v>
      </c>
      <c r="B19" s="22" t="s">
        <v>77</v>
      </c>
      <c r="C19" s="4">
        <v>907</v>
      </c>
      <c r="D19" s="4">
        <v>40</v>
      </c>
      <c r="E19" s="4">
        <v>40</v>
      </c>
      <c r="F19" s="6">
        <v>1</v>
      </c>
    </row>
    <row r="20" spans="1:6" x14ac:dyDescent="0.25">
      <c r="A20" s="22" t="s">
        <v>8</v>
      </c>
      <c r="B20" s="22" t="s">
        <v>30</v>
      </c>
      <c r="C20" s="4">
        <v>887</v>
      </c>
      <c r="D20" s="4">
        <v>40</v>
      </c>
      <c r="E20" s="4">
        <v>40</v>
      </c>
      <c r="F20" s="6">
        <v>2</v>
      </c>
    </row>
    <row r="21" spans="1:6" x14ac:dyDescent="0.25">
      <c r="A21" s="22" t="s">
        <v>8</v>
      </c>
      <c r="B21" s="22" t="s">
        <v>75</v>
      </c>
      <c r="C21" s="4">
        <v>424</v>
      </c>
      <c r="D21" s="4">
        <v>40</v>
      </c>
      <c r="E21" s="4">
        <v>40</v>
      </c>
      <c r="F21" s="6">
        <v>1</v>
      </c>
    </row>
    <row r="22" spans="1:6" x14ac:dyDescent="0.25">
      <c r="A22" s="22" t="s">
        <v>8</v>
      </c>
      <c r="B22" s="22" t="s">
        <v>76</v>
      </c>
      <c r="C22" s="4">
        <v>424</v>
      </c>
      <c r="D22" s="4">
        <v>40</v>
      </c>
      <c r="E22" s="4">
        <v>40</v>
      </c>
      <c r="F22" s="6">
        <v>1</v>
      </c>
    </row>
    <row r="23" spans="1:6" x14ac:dyDescent="0.25">
      <c r="A23" s="22" t="s">
        <v>8</v>
      </c>
      <c r="B23" s="22" t="s">
        <v>28</v>
      </c>
      <c r="C23" s="6">
        <v>404</v>
      </c>
      <c r="D23" s="6">
        <v>40</v>
      </c>
      <c r="E23" s="6">
        <v>40</v>
      </c>
      <c r="F23" s="6">
        <v>4</v>
      </c>
    </row>
    <row r="24" spans="1:6" x14ac:dyDescent="0.25">
      <c r="A24" s="22" t="s">
        <v>8</v>
      </c>
      <c r="B24" s="22" t="s">
        <v>50</v>
      </c>
      <c r="C24" s="4">
        <v>389</v>
      </c>
      <c r="D24" s="4">
        <v>40</v>
      </c>
      <c r="E24" s="4">
        <v>40</v>
      </c>
      <c r="F24" s="6">
        <v>1</v>
      </c>
    </row>
    <row r="25" spans="1:6" x14ac:dyDescent="0.25">
      <c r="A25" s="22" t="s">
        <v>8</v>
      </c>
      <c r="B25" s="22" t="s">
        <v>48</v>
      </c>
      <c r="C25" s="4">
        <v>351</v>
      </c>
      <c r="D25" s="4">
        <v>40</v>
      </c>
      <c r="E25" s="4">
        <v>40</v>
      </c>
      <c r="F25" s="6">
        <v>3</v>
      </c>
    </row>
    <row r="26" spans="1:6" x14ac:dyDescent="0.25">
      <c r="A26" s="22" t="s">
        <v>8</v>
      </c>
      <c r="B26" s="22" t="s">
        <v>49</v>
      </c>
      <c r="C26" s="4">
        <v>350</v>
      </c>
      <c r="D26" s="4">
        <v>40</v>
      </c>
      <c r="E26" s="4">
        <v>40</v>
      </c>
      <c r="F26" s="6">
        <v>5</v>
      </c>
    </row>
    <row r="27" spans="1:6" x14ac:dyDescent="0.25">
      <c r="A27" s="22" t="s">
        <v>13</v>
      </c>
      <c r="B27" s="22" t="s">
        <v>36</v>
      </c>
      <c r="C27" s="4">
        <v>300</v>
      </c>
      <c r="D27" s="4">
        <v>40</v>
      </c>
      <c r="E27" s="4">
        <v>40</v>
      </c>
      <c r="F27" s="6">
        <v>4</v>
      </c>
    </row>
    <row r="29" spans="1:6" x14ac:dyDescent="0.25">
      <c r="A29" s="5">
        <v>1</v>
      </c>
      <c r="B29" s="23" t="s">
        <v>102</v>
      </c>
      <c r="C29" s="5">
        <v>3000</v>
      </c>
      <c r="D29" s="5">
        <v>3</v>
      </c>
    </row>
    <row r="30" spans="1:6" x14ac:dyDescent="0.25">
      <c r="A30" s="5"/>
      <c r="B30" s="23" t="s">
        <v>26</v>
      </c>
      <c r="C30" s="5">
        <v>940</v>
      </c>
      <c r="D30" s="5">
        <v>3</v>
      </c>
    </row>
    <row r="31" spans="1:6" x14ac:dyDescent="0.25">
      <c r="A31" s="5"/>
      <c r="B31" s="23" t="s">
        <v>32</v>
      </c>
      <c r="C31" s="5">
        <v>1956</v>
      </c>
      <c r="D31" s="5">
        <v>3</v>
      </c>
    </row>
    <row r="32" spans="1:6" x14ac:dyDescent="0.25">
      <c r="A32" s="5"/>
      <c r="B32" s="23" t="s">
        <v>103</v>
      </c>
      <c r="C32" s="5">
        <f>SUM(C29,-1*C30,-1*C31)</f>
        <v>104</v>
      </c>
      <c r="D32" s="5">
        <v>3</v>
      </c>
    </row>
    <row r="33" spans="1:4" x14ac:dyDescent="0.25">
      <c r="A33" s="5"/>
    </row>
    <row r="34" spans="1:4" x14ac:dyDescent="0.25">
      <c r="A34" s="5">
        <v>2</v>
      </c>
      <c r="B34" s="23" t="s">
        <v>102</v>
      </c>
      <c r="C34" s="5">
        <v>3000</v>
      </c>
      <c r="D34" s="5">
        <v>1</v>
      </c>
    </row>
    <row r="35" spans="1:4" x14ac:dyDescent="0.25">
      <c r="A35" s="5"/>
      <c r="B35" s="22" t="s">
        <v>50</v>
      </c>
      <c r="C35" s="5">
        <v>389</v>
      </c>
      <c r="D35" s="5">
        <v>1</v>
      </c>
    </row>
    <row r="36" spans="1:4" x14ac:dyDescent="0.25">
      <c r="A36" s="5"/>
      <c r="B36" s="23" t="s">
        <v>28</v>
      </c>
      <c r="C36" s="5">
        <v>404</v>
      </c>
      <c r="D36" s="5">
        <v>1</v>
      </c>
    </row>
    <row r="37" spans="1:4" x14ac:dyDescent="0.25">
      <c r="A37" s="5"/>
      <c r="B37" s="23" t="s">
        <v>104</v>
      </c>
      <c r="C37" s="5">
        <v>940</v>
      </c>
      <c r="D37" s="5">
        <v>1</v>
      </c>
    </row>
    <row r="38" spans="1:4" x14ac:dyDescent="0.25">
      <c r="A38" s="5"/>
      <c r="B38" s="23" t="s">
        <v>35</v>
      </c>
      <c r="C38" s="5">
        <v>1250</v>
      </c>
      <c r="D38" s="5">
        <v>1</v>
      </c>
    </row>
    <row r="39" spans="1:4" x14ac:dyDescent="0.25">
      <c r="A39" s="5"/>
      <c r="B39" s="23" t="s">
        <v>103</v>
      </c>
      <c r="C39" s="5">
        <f>SUM(C34,-1*C35,-1*C36,-1*C37,-1*C38)</f>
        <v>17</v>
      </c>
      <c r="D39" s="5">
        <v>1</v>
      </c>
    </row>
    <row r="40" spans="1:4" x14ac:dyDescent="0.25">
      <c r="A40" s="5"/>
    </row>
    <row r="41" spans="1:4" x14ac:dyDescent="0.25">
      <c r="A41" s="5"/>
    </row>
    <row r="42" spans="1:4" x14ac:dyDescent="0.25">
      <c r="A42" s="5">
        <v>3</v>
      </c>
      <c r="B42" s="23" t="s">
        <v>102</v>
      </c>
      <c r="C42" s="5">
        <v>3000</v>
      </c>
      <c r="D42" s="5">
        <v>1</v>
      </c>
    </row>
    <row r="43" spans="1:4" x14ac:dyDescent="0.25">
      <c r="A43" s="5"/>
      <c r="B43" s="23" t="s">
        <v>36</v>
      </c>
      <c r="C43" s="5">
        <v>300</v>
      </c>
      <c r="D43" s="5">
        <v>1</v>
      </c>
    </row>
    <row r="44" spans="1:4" x14ac:dyDescent="0.25">
      <c r="A44" s="5"/>
      <c r="B44" s="23" t="s">
        <v>49</v>
      </c>
      <c r="C44" s="5">
        <v>350</v>
      </c>
      <c r="D44" s="5">
        <v>1</v>
      </c>
    </row>
    <row r="45" spans="1:4" x14ac:dyDescent="0.25">
      <c r="A45" s="5"/>
      <c r="B45" s="23" t="s">
        <v>75</v>
      </c>
      <c r="C45" s="5">
        <v>424</v>
      </c>
      <c r="D45" s="5">
        <v>1</v>
      </c>
    </row>
    <row r="46" spans="1:4" x14ac:dyDescent="0.25">
      <c r="A46" s="5"/>
      <c r="B46" s="23" t="s">
        <v>26</v>
      </c>
      <c r="C46" s="5">
        <v>940</v>
      </c>
      <c r="D46" s="5">
        <v>1</v>
      </c>
    </row>
    <row r="47" spans="1:4" x14ac:dyDescent="0.25">
      <c r="A47" s="5"/>
      <c r="B47" s="23" t="s">
        <v>103</v>
      </c>
    </row>
    <row r="48" spans="1:4" x14ac:dyDescent="0.25">
      <c r="A48" s="5"/>
    </row>
    <row r="49" spans="1:4" x14ac:dyDescent="0.25">
      <c r="A49" s="5">
        <v>4</v>
      </c>
      <c r="B49" s="23" t="s">
        <v>102</v>
      </c>
      <c r="C49" s="5">
        <v>3000</v>
      </c>
      <c r="D49" s="5">
        <v>1</v>
      </c>
    </row>
    <row r="50" spans="1:4" x14ac:dyDescent="0.25">
      <c r="A50" s="5"/>
      <c r="B50" s="23" t="s">
        <v>28</v>
      </c>
      <c r="C50" s="5">
        <v>404</v>
      </c>
      <c r="D50" s="5">
        <v>1</v>
      </c>
    </row>
    <row r="51" spans="1:4" x14ac:dyDescent="0.25">
      <c r="A51" s="5"/>
      <c r="B51" s="23" t="s">
        <v>28</v>
      </c>
      <c r="C51" s="5">
        <v>404</v>
      </c>
      <c r="D51" s="5">
        <v>1</v>
      </c>
    </row>
    <row r="52" spans="1:4" x14ac:dyDescent="0.25">
      <c r="A52" s="5"/>
      <c r="B52" s="23" t="s">
        <v>26</v>
      </c>
      <c r="C52" s="5">
        <v>940</v>
      </c>
      <c r="D52" s="5">
        <v>1</v>
      </c>
    </row>
    <row r="53" spans="1:4" x14ac:dyDescent="0.25">
      <c r="A53" s="5"/>
      <c r="B53" s="23" t="s">
        <v>35</v>
      </c>
      <c r="C53" s="5">
        <v>1250</v>
      </c>
      <c r="D53" s="5">
        <v>1</v>
      </c>
    </row>
    <row r="54" spans="1:4" x14ac:dyDescent="0.25">
      <c r="A54" s="5"/>
      <c r="B54" s="23" t="s">
        <v>103</v>
      </c>
    </row>
    <row r="55" spans="1:4" x14ac:dyDescent="0.25">
      <c r="A55" s="5"/>
    </row>
    <row r="56" spans="1:4" x14ac:dyDescent="0.25">
      <c r="A56" s="5">
        <v>5</v>
      </c>
      <c r="B56" s="23" t="s">
        <v>102</v>
      </c>
      <c r="C56" s="5">
        <v>3000</v>
      </c>
      <c r="D56" s="5">
        <v>1</v>
      </c>
    </row>
    <row r="57" spans="1:4" x14ac:dyDescent="0.25">
      <c r="A57" s="5"/>
      <c r="B57" s="23" t="s">
        <v>28</v>
      </c>
      <c r="C57" s="5">
        <v>404</v>
      </c>
      <c r="D57" s="5">
        <v>1</v>
      </c>
    </row>
    <row r="58" spans="1:4" x14ac:dyDescent="0.25">
      <c r="A58" s="5"/>
      <c r="B58" s="23" t="s">
        <v>29</v>
      </c>
      <c r="C58" s="5">
        <v>940</v>
      </c>
      <c r="D58" s="5">
        <v>1</v>
      </c>
    </row>
    <row r="59" spans="1:4" x14ac:dyDescent="0.25">
      <c r="A59" s="5"/>
      <c r="B59" s="23" t="s">
        <v>72</v>
      </c>
      <c r="C59" s="5">
        <v>1600</v>
      </c>
      <c r="D59" s="5">
        <v>1</v>
      </c>
    </row>
    <row r="60" spans="1:4" x14ac:dyDescent="0.25">
      <c r="A60" s="5"/>
      <c r="B60" s="23" t="s">
        <v>103</v>
      </c>
    </row>
    <row r="61" spans="1:4" x14ac:dyDescent="0.25">
      <c r="A61" s="5"/>
    </row>
    <row r="62" spans="1:4" x14ac:dyDescent="0.25">
      <c r="A62" s="5">
        <v>6</v>
      </c>
      <c r="B62" s="23" t="s">
        <v>102</v>
      </c>
      <c r="C62" s="5">
        <v>3000</v>
      </c>
      <c r="D62" s="5">
        <v>1</v>
      </c>
    </row>
    <row r="63" spans="1:4" x14ac:dyDescent="0.25">
      <c r="A63" s="5"/>
      <c r="B63" s="23" t="s">
        <v>49</v>
      </c>
      <c r="C63" s="5">
        <v>350</v>
      </c>
      <c r="D63" s="5">
        <v>1</v>
      </c>
    </row>
    <row r="64" spans="1:4" x14ac:dyDescent="0.25">
      <c r="A64" s="5"/>
      <c r="B64" s="23" t="s">
        <v>49</v>
      </c>
      <c r="C64" s="5">
        <v>350</v>
      </c>
      <c r="D64" s="5">
        <v>1</v>
      </c>
    </row>
    <row r="65" spans="1:4" x14ac:dyDescent="0.25">
      <c r="A65" s="5"/>
      <c r="B65" s="23" t="s">
        <v>49</v>
      </c>
      <c r="C65" s="5">
        <v>350</v>
      </c>
      <c r="D65" s="5">
        <v>1</v>
      </c>
    </row>
    <row r="66" spans="1:4" x14ac:dyDescent="0.25">
      <c r="A66" s="5"/>
      <c r="B66" s="23" t="s">
        <v>75</v>
      </c>
      <c r="C66" s="5">
        <v>424</v>
      </c>
      <c r="D66" s="5">
        <v>1</v>
      </c>
    </row>
    <row r="67" spans="1:4" x14ac:dyDescent="0.25">
      <c r="A67" s="5"/>
      <c r="B67" s="23" t="s">
        <v>45</v>
      </c>
      <c r="C67" s="5">
        <v>1520</v>
      </c>
      <c r="D67" s="5">
        <v>1</v>
      </c>
    </row>
    <row r="68" spans="1:4" x14ac:dyDescent="0.25">
      <c r="A68" s="5"/>
      <c r="B68" s="23" t="s">
        <v>103</v>
      </c>
    </row>
    <row r="69" spans="1:4" x14ac:dyDescent="0.25">
      <c r="A69" s="5"/>
    </row>
    <row r="70" spans="1:4" x14ac:dyDescent="0.25">
      <c r="A70" s="5">
        <v>7</v>
      </c>
      <c r="B70" s="23" t="s">
        <v>102</v>
      </c>
      <c r="C70" s="5">
        <v>3000</v>
      </c>
      <c r="D70" s="5">
        <v>1</v>
      </c>
    </row>
    <row r="71" spans="1:4" x14ac:dyDescent="0.25">
      <c r="A71" s="5"/>
      <c r="B71" s="23" t="s">
        <v>48</v>
      </c>
      <c r="C71" s="5">
        <v>351</v>
      </c>
      <c r="D71" s="5">
        <v>1</v>
      </c>
    </row>
    <row r="72" spans="1:4" x14ac:dyDescent="0.25">
      <c r="A72" s="5"/>
      <c r="B72" s="23" t="s">
        <v>48</v>
      </c>
      <c r="C72" s="5">
        <v>351</v>
      </c>
      <c r="D72" s="5">
        <v>1</v>
      </c>
    </row>
    <row r="73" spans="1:4" x14ac:dyDescent="0.25">
      <c r="A73" s="5"/>
      <c r="B73" s="23" t="s">
        <v>48</v>
      </c>
      <c r="C73" s="5">
        <v>351</v>
      </c>
      <c r="D73" s="5">
        <v>1</v>
      </c>
    </row>
    <row r="74" spans="1:4" x14ac:dyDescent="0.25">
      <c r="A74" s="5"/>
      <c r="B74" s="23" t="s">
        <v>26</v>
      </c>
      <c r="C74" s="5">
        <v>940</v>
      </c>
      <c r="D74" s="5">
        <v>1</v>
      </c>
    </row>
    <row r="75" spans="1:4" x14ac:dyDescent="0.25">
      <c r="A75" s="5"/>
      <c r="B75" s="23" t="s">
        <v>26</v>
      </c>
      <c r="C75" s="5">
        <v>940</v>
      </c>
      <c r="D75" s="5">
        <v>1</v>
      </c>
    </row>
    <row r="76" spans="1:4" x14ac:dyDescent="0.25">
      <c r="A76" s="5"/>
      <c r="B76" s="23" t="s">
        <v>103</v>
      </c>
    </row>
    <row r="77" spans="1:4" x14ac:dyDescent="0.25">
      <c r="A77" s="5"/>
    </row>
    <row r="78" spans="1:4" x14ac:dyDescent="0.25">
      <c r="A78" s="5">
        <v>8</v>
      </c>
      <c r="B78" s="23" t="s">
        <v>102</v>
      </c>
      <c r="C78" s="5">
        <v>3000</v>
      </c>
      <c r="D78" s="5">
        <v>1</v>
      </c>
    </row>
    <row r="79" spans="1:4" x14ac:dyDescent="0.25">
      <c r="A79" s="5"/>
      <c r="B79" s="23" t="s">
        <v>26</v>
      </c>
      <c r="C79" s="5">
        <v>940</v>
      </c>
      <c r="D79" s="5">
        <v>1</v>
      </c>
    </row>
    <row r="80" spans="1:4" x14ac:dyDescent="0.25">
      <c r="A80" s="5"/>
      <c r="B80" s="23" t="s">
        <v>37</v>
      </c>
      <c r="C80" s="5">
        <v>2000</v>
      </c>
      <c r="D80" s="5">
        <v>1</v>
      </c>
    </row>
    <row r="81" spans="1:4" x14ac:dyDescent="0.25">
      <c r="A81" s="5"/>
      <c r="B81" s="23" t="s">
        <v>103</v>
      </c>
    </row>
    <row r="82" spans="1:4" x14ac:dyDescent="0.25">
      <c r="A82" s="5"/>
    </row>
    <row r="83" spans="1:4" x14ac:dyDescent="0.25">
      <c r="A83" s="5">
        <v>9</v>
      </c>
      <c r="B83" s="23" t="s">
        <v>102</v>
      </c>
      <c r="C83" s="5">
        <v>3000</v>
      </c>
      <c r="D83" s="5">
        <v>1</v>
      </c>
    </row>
    <row r="84" spans="1:4" x14ac:dyDescent="0.25">
      <c r="A84" s="5"/>
      <c r="B84" s="23" t="s">
        <v>26</v>
      </c>
      <c r="C84" s="5">
        <v>940</v>
      </c>
      <c r="D84" s="5">
        <v>1</v>
      </c>
    </row>
    <row r="85" spans="1:4" x14ac:dyDescent="0.25">
      <c r="A85" s="5"/>
      <c r="B85" s="23" t="s">
        <v>29</v>
      </c>
      <c r="C85" s="5">
        <v>1940</v>
      </c>
      <c r="D85" s="5">
        <v>1</v>
      </c>
    </row>
    <row r="86" spans="1:4" x14ac:dyDescent="0.25">
      <c r="A86" s="5"/>
      <c r="B86" s="23" t="s">
        <v>103</v>
      </c>
    </row>
    <row r="87" spans="1:4" x14ac:dyDescent="0.25">
      <c r="A87" s="5"/>
    </row>
    <row r="88" spans="1:4" x14ac:dyDescent="0.25">
      <c r="A88" s="5">
        <v>10</v>
      </c>
      <c r="B88" s="23" t="s">
        <v>102</v>
      </c>
      <c r="C88" s="5">
        <v>3000</v>
      </c>
      <c r="D88" s="5">
        <v>1</v>
      </c>
    </row>
    <row r="89" spans="1:4" x14ac:dyDescent="0.25">
      <c r="A89" s="5"/>
      <c r="B89" s="22" t="s">
        <v>49</v>
      </c>
      <c r="C89" s="5">
        <v>350</v>
      </c>
      <c r="D89" s="5">
        <v>1</v>
      </c>
    </row>
    <row r="90" spans="1:4" x14ac:dyDescent="0.25">
      <c r="A90" s="5"/>
      <c r="B90" s="23" t="s">
        <v>35</v>
      </c>
      <c r="C90" s="5">
        <v>1250</v>
      </c>
      <c r="D90" s="5">
        <v>1</v>
      </c>
    </row>
    <row r="91" spans="1:4" x14ac:dyDescent="0.25">
      <c r="A91" s="5"/>
      <c r="B91" s="23" t="s">
        <v>103</v>
      </c>
    </row>
    <row r="92" spans="1:4" x14ac:dyDescent="0.25">
      <c r="A92" s="5"/>
    </row>
    <row r="93" spans="1:4" x14ac:dyDescent="0.25">
      <c r="A93" s="5">
        <v>11</v>
      </c>
      <c r="B93" s="23" t="s">
        <v>102</v>
      </c>
      <c r="C93" s="5">
        <v>2000</v>
      </c>
      <c r="D93" s="5">
        <v>10</v>
      </c>
    </row>
    <row r="94" spans="1:4" x14ac:dyDescent="0.25">
      <c r="A94" s="5"/>
      <c r="B94" s="23" t="s">
        <v>29</v>
      </c>
      <c r="C94" s="5">
        <v>1940</v>
      </c>
      <c r="D94" s="5">
        <v>10</v>
      </c>
    </row>
    <row r="95" spans="1:4" x14ac:dyDescent="0.25">
      <c r="A95" s="5"/>
      <c r="B95" s="23" t="s">
        <v>103</v>
      </c>
    </row>
    <row r="96" spans="1:4" x14ac:dyDescent="0.25">
      <c r="A96" s="5"/>
    </row>
    <row r="97" spans="1:4" x14ac:dyDescent="0.25">
      <c r="A97" s="5">
        <v>12</v>
      </c>
      <c r="B97" s="23" t="s">
        <v>102</v>
      </c>
      <c r="C97" s="5">
        <v>2000</v>
      </c>
      <c r="D97" s="5">
        <v>8</v>
      </c>
    </row>
    <row r="98" spans="1:4" x14ac:dyDescent="0.25">
      <c r="A98" s="5"/>
      <c r="B98" s="23" t="s">
        <v>35</v>
      </c>
      <c r="C98" s="5">
        <v>1250</v>
      </c>
      <c r="D98" s="5">
        <v>8</v>
      </c>
    </row>
    <row r="99" spans="1:4" x14ac:dyDescent="0.25">
      <c r="A99" s="5"/>
      <c r="B99" s="23" t="s">
        <v>103</v>
      </c>
    </row>
    <row r="100" spans="1:4" x14ac:dyDescent="0.25">
      <c r="A100" s="5"/>
    </row>
    <row r="101" spans="1:4" x14ac:dyDescent="0.25">
      <c r="A101" s="5">
        <v>13</v>
      </c>
      <c r="B101" s="23" t="s">
        <v>102</v>
      </c>
      <c r="C101" s="5">
        <v>2000</v>
      </c>
      <c r="D101" s="5">
        <v>5</v>
      </c>
    </row>
    <row r="102" spans="1:4" x14ac:dyDescent="0.25">
      <c r="A102" s="5"/>
      <c r="B102" s="23" t="s">
        <v>52</v>
      </c>
      <c r="C102" s="5">
        <v>1900</v>
      </c>
      <c r="D102" s="5">
        <v>5</v>
      </c>
    </row>
    <row r="103" spans="1:4" x14ac:dyDescent="0.25">
      <c r="A103" s="5"/>
      <c r="B103" s="23" t="s">
        <v>103</v>
      </c>
    </row>
    <row r="104" spans="1:4" x14ac:dyDescent="0.25">
      <c r="A104" s="5"/>
    </row>
    <row r="105" spans="1:4" x14ac:dyDescent="0.25">
      <c r="A105" s="5">
        <v>14</v>
      </c>
      <c r="B105" s="23" t="s">
        <v>102</v>
      </c>
      <c r="C105" s="5">
        <v>2000</v>
      </c>
      <c r="D105" s="5">
        <v>5</v>
      </c>
    </row>
    <row r="106" spans="1:4" x14ac:dyDescent="0.25">
      <c r="A106" s="5"/>
      <c r="B106" s="23" t="s">
        <v>46</v>
      </c>
      <c r="C106" s="5">
        <v>1520</v>
      </c>
      <c r="D106" s="5">
        <v>5</v>
      </c>
    </row>
    <row r="107" spans="1:4" x14ac:dyDescent="0.25">
      <c r="A107" s="5"/>
      <c r="B107" s="23" t="s">
        <v>103</v>
      </c>
    </row>
    <row r="108" spans="1:4" x14ac:dyDescent="0.25">
      <c r="A108" s="5"/>
    </row>
    <row r="109" spans="1:4" x14ac:dyDescent="0.25">
      <c r="A109" s="5">
        <v>15</v>
      </c>
      <c r="B109" s="23" t="s">
        <v>102</v>
      </c>
      <c r="C109" s="5">
        <v>2000</v>
      </c>
      <c r="D109" s="5">
        <v>3</v>
      </c>
    </row>
    <row r="110" spans="1:4" x14ac:dyDescent="0.25">
      <c r="A110" s="5"/>
      <c r="B110" s="23" t="s">
        <v>105</v>
      </c>
      <c r="C110" s="5">
        <v>1876</v>
      </c>
      <c r="D110" s="5">
        <v>3</v>
      </c>
    </row>
    <row r="111" spans="1:4" x14ac:dyDescent="0.25">
      <c r="A111" s="5"/>
      <c r="B111" s="23" t="s">
        <v>103</v>
      </c>
    </row>
    <row r="112" spans="1:4" x14ac:dyDescent="0.25">
      <c r="A112" s="5"/>
    </row>
    <row r="113" spans="1:4" x14ac:dyDescent="0.25">
      <c r="A113" s="5">
        <v>16</v>
      </c>
      <c r="B113" s="23" t="s">
        <v>102</v>
      </c>
      <c r="C113" s="5">
        <v>2000</v>
      </c>
      <c r="D113" s="5">
        <v>2</v>
      </c>
    </row>
    <row r="114" spans="1:4" x14ac:dyDescent="0.25">
      <c r="A114" s="5"/>
      <c r="B114" s="23" t="s">
        <v>106</v>
      </c>
      <c r="C114" s="5">
        <v>1956</v>
      </c>
    </row>
    <row r="115" spans="1:4" x14ac:dyDescent="0.25">
      <c r="A115" s="5"/>
      <c r="B115" s="23" t="s">
        <v>103</v>
      </c>
    </row>
    <row r="116" spans="1:4" x14ac:dyDescent="0.25">
      <c r="A116" s="5"/>
    </row>
    <row r="117" spans="1:4" x14ac:dyDescent="0.25">
      <c r="A117" s="5">
        <v>17</v>
      </c>
      <c r="B117" s="23" t="s">
        <v>102</v>
      </c>
      <c r="C117" s="5">
        <v>2000</v>
      </c>
      <c r="D117" s="5">
        <v>1</v>
      </c>
    </row>
    <row r="118" spans="1:4" x14ac:dyDescent="0.25">
      <c r="A118" s="5"/>
      <c r="B118" s="23" t="s">
        <v>77</v>
      </c>
      <c r="C118" s="5">
        <v>907</v>
      </c>
      <c r="D118" s="5">
        <v>1</v>
      </c>
    </row>
    <row r="119" spans="1:4" x14ac:dyDescent="0.25">
      <c r="A119" s="5"/>
      <c r="B119" s="23" t="s">
        <v>30</v>
      </c>
      <c r="C119" s="5">
        <v>887</v>
      </c>
      <c r="D119" s="5">
        <v>1</v>
      </c>
    </row>
    <row r="120" spans="1:4" x14ac:dyDescent="0.25">
      <c r="A120" s="5"/>
      <c r="B120" s="23" t="s">
        <v>103</v>
      </c>
    </row>
    <row r="121" spans="1:4" x14ac:dyDescent="0.25">
      <c r="A121" s="5"/>
    </row>
    <row r="122" spans="1:4" x14ac:dyDescent="0.25">
      <c r="A122" s="5">
        <v>18</v>
      </c>
      <c r="B122" s="23" t="s">
        <v>102</v>
      </c>
      <c r="C122" s="5">
        <v>2000</v>
      </c>
      <c r="D122" s="5">
        <v>1</v>
      </c>
    </row>
    <row r="123" spans="1:4" x14ac:dyDescent="0.25">
      <c r="A123" s="5"/>
      <c r="B123" s="23" t="s">
        <v>51</v>
      </c>
      <c r="C123" s="5">
        <v>918</v>
      </c>
      <c r="D123" s="5">
        <v>1</v>
      </c>
    </row>
    <row r="124" spans="1:4" x14ac:dyDescent="0.25">
      <c r="A124" s="5"/>
      <c r="B124" s="23" t="s">
        <v>103</v>
      </c>
    </row>
    <row r="125" spans="1:4" x14ac:dyDescent="0.25">
      <c r="A125" s="5"/>
    </row>
    <row r="126" spans="1:4" x14ac:dyDescent="0.25">
      <c r="A126" s="5">
        <v>19</v>
      </c>
      <c r="B126" s="23" t="s">
        <v>102</v>
      </c>
      <c r="C126" s="5">
        <v>2000</v>
      </c>
      <c r="D126" s="5">
        <v>1</v>
      </c>
    </row>
    <row r="127" spans="1:4" x14ac:dyDescent="0.25">
      <c r="A127" s="5"/>
      <c r="B127" s="23" t="s">
        <v>30</v>
      </c>
      <c r="C127" s="5">
        <v>887</v>
      </c>
      <c r="D127" s="5">
        <v>1</v>
      </c>
    </row>
    <row r="128" spans="1:4" x14ac:dyDescent="0.25">
      <c r="A128" s="5"/>
      <c r="B128" s="23" t="s">
        <v>103</v>
      </c>
    </row>
  </sheetData>
  <mergeCells count="2">
    <mergeCell ref="A3:C3"/>
    <mergeCell ref="A4:C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</vt:i4>
      </vt:variant>
    </vt:vector>
  </HeadingPairs>
  <TitlesOfParts>
    <vt:vector size="10" baseType="lpstr">
      <vt:lpstr>Лист1</vt:lpstr>
      <vt:lpstr>Лист2</vt:lpstr>
      <vt:lpstr>Лист3</vt:lpstr>
      <vt:lpstr>Лист4</vt:lpstr>
      <vt:lpstr>Лист5</vt:lpstr>
      <vt:lpstr>Лист6</vt:lpstr>
      <vt:lpstr>Лист7</vt:lpstr>
      <vt:lpstr>Лист8</vt:lpstr>
      <vt:lpstr>Лист5!_2020_01_27_1</vt:lpstr>
      <vt:lpstr>Лист5!_2020_02_03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2020-02-03T18:49:12Z</dcterms:modified>
</cp:coreProperties>
</file>